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F5D50CB3-D803-44DF-B691-9336CA046820}" xr6:coauthVersionLast="47" xr6:coauthVersionMax="47" xr10:uidLastSave="{00000000-0000-0000-0000-000000000000}"/>
  <bookViews>
    <workbookView xWindow="-120" yWindow="-120" windowWidth="29040" windowHeight="15720" xr2:uid="{00000000-000D-0000-FFFF-FFFF00000000}"/>
  </bookViews>
  <sheets>
    <sheet name="Plan1" sheetId="1" r:id="rId1"/>
    <sheet name="Planilh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7" i="1" l="1"/>
  <c r="G17" i="1"/>
  <c r="G75" i="1"/>
  <c r="D2" i="1" l="1"/>
  <c r="D22" i="1"/>
  <c r="B2" i="1"/>
  <c r="D33" i="1" l="1"/>
  <c r="D20" i="1"/>
  <c r="D18" i="1"/>
  <c r="G19" i="1" l="1"/>
  <c r="G18" i="1"/>
  <c r="B60" i="1" l="1"/>
  <c r="D60" i="1"/>
  <c r="G60" i="1"/>
  <c r="K60" i="1"/>
  <c r="P60" i="1"/>
  <c r="G88" i="1" l="1"/>
  <c r="G92" i="1"/>
  <c r="G93" i="1"/>
  <c r="G100" i="1"/>
  <c r="G95" i="1"/>
  <c r="B90" i="1"/>
  <c r="B112" i="1"/>
  <c r="B113" i="1"/>
  <c r="B115" i="1"/>
  <c r="B120" i="1"/>
  <c r="B102" i="1"/>
  <c r="B103" i="1"/>
  <c r="B104" i="1"/>
  <c r="B108" i="1"/>
  <c r="B111" i="1"/>
  <c r="B101" i="1"/>
  <c r="B100" i="1"/>
  <c r="B99" i="1"/>
  <c r="B92" i="1"/>
  <c r="K3" i="1"/>
  <c r="K2" i="1"/>
  <c r="H2" i="1"/>
  <c r="G2" i="1"/>
  <c r="G14" i="1"/>
  <c r="G15" i="1"/>
  <c r="G16" i="1"/>
  <c r="G12" i="1"/>
  <c r="G13" i="1"/>
  <c r="G8" i="1"/>
  <c r="G10" i="1"/>
  <c r="G11" i="1"/>
  <c r="B3" i="1"/>
  <c r="B5" i="1"/>
  <c r="K73" i="1"/>
  <c r="K56" i="1"/>
  <c r="K53" i="1"/>
  <c r="K49" i="1"/>
  <c r="H49" i="1"/>
  <c r="H74" i="1"/>
  <c r="H78" i="1"/>
  <c r="H82" i="1"/>
  <c r="H84" i="1"/>
  <c r="H73" i="1"/>
  <c r="G49" i="1"/>
  <c r="G83" i="1"/>
  <c r="G85" i="1"/>
  <c r="G86" i="1"/>
  <c r="G79" i="1"/>
  <c r="G80" i="1"/>
  <c r="G81" i="1"/>
  <c r="G82" i="1"/>
  <c r="G66" i="1"/>
  <c r="G67" i="1"/>
  <c r="G68" i="1"/>
  <c r="G70" i="1"/>
  <c r="G71" i="1"/>
  <c r="G72" i="1"/>
  <c r="G73" i="1"/>
  <c r="G105" i="1"/>
  <c r="G106" i="1"/>
  <c r="G56" i="1"/>
  <c r="G53" i="1"/>
  <c r="G51" i="1"/>
  <c r="B49" i="1"/>
  <c r="B76" i="1"/>
  <c r="B77" i="1"/>
  <c r="B79" i="1"/>
  <c r="B82" i="1"/>
  <c r="B83" i="1"/>
  <c r="B70" i="1"/>
  <c r="B71" i="1"/>
  <c r="B72" i="1"/>
  <c r="B74" i="1"/>
  <c r="B59" i="1"/>
  <c r="B61" i="1"/>
  <c r="B62" i="1"/>
  <c r="B63" i="1"/>
  <c r="B64" i="1"/>
  <c r="B53" i="1"/>
  <c r="B54" i="1"/>
  <c r="B57" i="1"/>
  <c r="B58" i="1"/>
  <c r="B50" i="1"/>
  <c r="B51" i="1"/>
  <c r="D79" i="1"/>
  <c r="D82" i="1"/>
  <c r="D83" i="1"/>
  <c r="D71" i="1"/>
  <c r="D72" i="1"/>
  <c r="D74" i="1"/>
  <c r="D76" i="1"/>
  <c r="D77" i="1"/>
  <c r="D70" i="1"/>
  <c r="D58" i="1"/>
  <c r="D59" i="1"/>
  <c r="D50" i="1"/>
  <c r="D51" i="1"/>
  <c r="D53" i="1"/>
  <c r="D54" i="1"/>
  <c r="D57" i="1"/>
  <c r="D49" i="1"/>
  <c r="D5" i="1"/>
  <c r="D3" i="1"/>
  <c r="G103" i="1" l="1"/>
  <c r="G107" i="1"/>
  <c r="G109" i="1"/>
</calcChain>
</file>

<file path=xl/sharedStrings.xml><?xml version="1.0" encoding="utf-8"?>
<sst xmlns="http://schemas.openxmlformats.org/spreadsheetml/2006/main" count="633" uniqueCount="302">
  <si>
    <t>T0</t>
  </si>
  <si>
    <t>F.subtilis</t>
  </si>
  <si>
    <t>L.schmitti</t>
  </si>
  <si>
    <t>X.kroyeri</t>
  </si>
  <si>
    <t>Pará/Norte</t>
  </si>
  <si>
    <t>Pernambuco/Nordeste</t>
  </si>
  <si>
    <t>Espírito santo/Sudeste</t>
  </si>
  <si>
    <t>Santa catarina/Sul</t>
  </si>
  <si>
    <t>São paulo/SE</t>
  </si>
  <si>
    <t>Paraná/Sul</t>
  </si>
  <si>
    <t>Nordeste</t>
  </si>
  <si>
    <t>K(ano)</t>
  </si>
  <si>
    <t>Alagoas/ PE</t>
  </si>
  <si>
    <t>Caravelas/BA</t>
  </si>
  <si>
    <t>Santos/SP</t>
  </si>
  <si>
    <t>tamandaré/ PE</t>
  </si>
  <si>
    <t>Baía Formosa/RN</t>
  </si>
  <si>
    <t>Pitimbu/PB</t>
  </si>
  <si>
    <t>Bahia Formosa/RN</t>
  </si>
  <si>
    <t>Lucena/PB</t>
  </si>
  <si>
    <t>Lagoa Papari/ RN</t>
  </si>
  <si>
    <t>Alagoas/ Sergipe</t>
  </si>
  <si>
    <t>Norte</t>
  </si>
  <si>
    <t>Baía de santos/SP</t>
  </si>
  <si>
    <t>Baía de tijucas/SC</t>
  </si>
  <si>
    <t>Itajaí/SC</t>
  </si>
  <si>
    <t>Ubatuba/SP</t>
  </si>
  <si>
    <t>F.paulensis</t>
  </si>
  <si>
    <t>F.brasiliensis</t>
  </si>
  <si>
    <t>São Paulo/SE</t>
  </si>
  <si>
    <t>Santa Catarina/Sul</t>
  </si>
  <si>
    <t>Sul</t>
  </si>
  <si>
    <t>Rio de janeiro/Sudeste</t>
  </si>
  <si>
    <t>Sudeste</t>
  </si>
  <si>
    <t>L50(mm)CL</t>
  </si>
  <si>
    <t>L50(mm)TL</t>
  </si>
  <si>
    <t>Lr(mm)TL</t>
  </si>
  <si>
    <t>Lr(mm)CL</t>
  </si>
  <si>
    <t>Lc(mm)CL</t>
  </si>
  <si>
    <t>Lc(mm)TL</t>
  </si>
  <si>
    <t>Venezuela</t>
  </si>
  <si>
    <t>Nicaragua</t>
  </si>
  <si>
    <t>F</t>
  </si>
  <si>
    <t>M</t>
  </si>
  <si>
    <t>Z</t>
  </si>
  <si>
    <t>Jequia/AL</t>
  </si>
  <si>
    <t>Tacarigua/Venezuela</t>
  </si>
  <si>
    <t>Guiana</t>
  </si>
  <si>
    <t>Rio Grande do Norte</t>
  </si>
  <si>
    <t>Golfo do México</t>
  </si>
  <si>
    <t>Sergipe/NE</t>
  </si>
  <si>
    <t>N</t>
  </si>
  <si>
    <t>S</t>
  </si>
  <si>
    <t>NE</t>
  </si>
  <si>
    <t>SE</t>
  </si>
  <si>
    <t>a(w)</t>
  </si>
  <si>
    <t>b(w)</t>
  </si>
  <si>
    <t>Linf(mm)TL</t>
  </si>
  <si>
    <t>Linf(mm)CL</t>
  </si>
  <si>
    <t>Winf(g)</t>
  </si>
  <si>
    <t>a(L)</t>
  </si>
  <si>
    <t>b(L)</t>
  </si>
  <si>
    <t>Maranhão/Nordeste</t>
  </si>
  <si>
    <t>Lagoa dos patos/RS</t>
  </si>
  <si>
    <t>Lagoa de conceição/RS</t>
  </si>
  <si>
    <t>Rio Grande/ Sul</t>
  </si>
  <si>
    <t>Cananeia/SP</t>
  </si>
  <si>
    <t>Corumbau/BA</t>
  </si>
  <si>
    <t>Carvalho, 2015</t>
  </si>
  <si>
    <t>Silva et al., 2016</t>
  </si>
  <si>
    <t>Shepherd et al., 2020</t>
  </si>
  <si>
    <t>Isaac et al., 1992</t>
  </si>
  <si>
    <t>Aragão, 2012</t>
  </si>
  <si>
    <t>Santos et al., 2020</t>
  </si>
  <si>
    <t>Aragão et al., 2005</t>
  </si>
  <si>
    <t>Perez-Farfante, 1969</t>
  </si>
  <si>
    <t>Porto &amp; Santos, 1996</t>
  </si>
  <si>
    <t>Martinelli, 2005</t>
  </si>
  <si>
    <t>Cintra et al., 2004</t>
  </si>
  <si>
    <t>Santos &amp; Freitas, 2002</t>
  </si>
  <si>
    <t>Coelho &amp; Santos, 1993</t>
  </si>
  <si>
    <t>Santos, 2000</t>
  </si>
  <si>
    <t>Lopes, 2012</t>
  </si>
  <si>
    <t>Branco &amp; Verani, 1998</t>
  </si>
  <si>
    <t>Leite &amp; Petrere, 2006</t>
  </si>
  <si>
    <t>Haimovici &amp; Mendonça, 1996</t>
  </si>
  <si>
    <t>Salvati, 2017</t>
  </si>
  <si>
    <t>Villela et al., 1997</t>
  </si>
  <si>
    <t>D'incao, 1984</t>
  </si>
  <si>
    <t>D'Incao, 1983</t>
  </si>
  <si>
    <t>Melo, 1973</t>
  </si>
  <si>
    <t>Zenker &amp; Agnes, 1977</t>
  </si>
  <si>
    <t>D'Incao &amp; Calazans, 1978</t>
  </si>
  <si>
    <t>Freitas et al., 2011</t>
  </si>
  <si>
    <t>Fernandes, 2012</t>
  </si>
  <si>
    <t>Peixoto et al., 2005</t>
  </si>
  <si>
    <t>Rezende et al., 2015</t>
  </si>
  <si>
    <t>Costa et al., 2008</t>
  </si>
  <si>
    <t>D'incao, 1991</t>
  </si>
  <si>
    <t>D'incao, 1995</t>
  </si>
  <si>
    <t>Fernandes et al., 2014</t>
  </si>
  <si>
    <t>Silva et al., 2019</t>
  </si>
  <si>
    <t>Paiva, 1996</t>
  </si>
  <si>
    <t>Santos et al., 1969</t>
  </si>
  <si>
    <t>Neiva &amp; Wise, 1967</t>
  </si>
  <si>
    <t>Santos, 1997</t>
  </si>
  <si>
    <t>Graça-Lopes, 2007</t>
  </si>
  <si>
    <t>Grabowski et al., 2014</t>
  </si>
  <si>
    <t>Heckler et al., 2013</t>
  </si>
  <si>
    <t>Campos et al., 2011</t>
  </si>
  <si>
    <t>Lopes et al., 2014</t>
  </si>
  <si>
    <t>Branco et al., 1994</t>
  </si>
  <si>
    <t>Santos, 2014</t>
  </si>
  <si>
    <t>Amado, 1978</t>
  </si>
  <si>
    <t>Nascimento &amp; Poli, 1986</t>
  </si>
  <si>
    <t>Sahm, 2011</t>
  </si>
  <si>
    <t>Almeida et al., 2012</t>
  </si>
  <si>
    <t>Eutrópio et al., 2013</t>
  </si>
  <si>
    <t>Guimarães, 2009</t>
  </si>
  <si>
    <t>Branco, 2005</t>
  </si>
  <si>
    <t>Branco et al., 1999</t>
  </si>
  <si>
    <t>Castilho et al., 2015</t>
  </si>
  <si>
    <t>Santos &amp; Silva, 2008</t>
  </si>
  <si>
    <t>Santos &amp; Freitas, 2006</t>
  </si>
  <si>
    <t>Rodrigues et al., 2015</t>
  </si>
  <si>
    <t>Flores-Hernandez et al., 2006</t>
  </si>
  <si>
    <t>Oliveira et al., 1990</t>
  </si>
  <si>
    <t>Fernandes et al., 2011</t>
  </si>
  <si>
    <t>Santos et al., 2000</t>
  </si>
  <si>
    <t>Reis et al., 2019</t>
  </si>
  <si>
    <t>Neiva &amp; Wise, 1963</t>
  </si>
  <si>
    <t>Santos et al., 2008</t>
  </si>
  <si>
    <t>Craveiro et al., 2019</t>
  </si>
  <si>
    <t>Peixoto et al., 2018</t>
  </si>
  <si>
    <t>Santos et al., 2004</t>
  </si>
  <si>
    <t>Santos &amp; Freitas, 2004</t>
  </si>
  <si>
    <t>Santos et al., 2006</t>
  </si>
  <si>
    <t>Santos, 2002</t>
  </si>
  <si>
    <t>Miazaki et al., 2018</t>
  </si>
  <si>
    <t>Santos, 2007</t>
  </si>
  <si>
    <t>Machado et al., 2009</t>
  </si>
  <si>
    <t>Pasquier &amp; Stotz, 1999</t>
  </si>
  <si>
    <t>Andrade &amp; Stotz, 1999</t>
  </si>
  <si>
    <t>Sangronis, 2001</t>
  </si>
  <si>
    <t>Barioto, 2017</t>
  </si>
  <si>
    <t>Carvalho, 2013</t>
  </si>
  <si>
    <t>Colindres, 2006</t>
  </si>
  <si>
    <t>Diaz et al., 2014</t>
  </si>
  <si>
    <t>Luvesuto, 2006</t>
  </si>
  <si>
    <t>Gassman &amp; Rojas, 2016</t>
  </si>
  <si>
    <t>Santos, 2010</t>
  </si>
  <si>
    <t>Coruripe/Alagoas</t>
  </si>
  <si>
    <t>Junior et al., 2021</t>
  </si>
  <si>
    <t>Perroca et al., 2022</t>
  </si>
  <si>
    <t>Rosa et al., 2021</t>
  </si>
  <si>
    <t>Salvati et al., 2021</t>
  </si>
  <si>
    <t>Reis‑Júnior et al., 2023</t>
  </si>
  <si>
    <t>Ferreira &amp; Braga, 2023</t>
  </si>
  <si>
    <t>Bahia/NE</t>
  </si>
  <si>
    <t>Piaçabuçu/ AL</t>
  </si>
  <si>
    <t>Barra do sul/SC</t>
  </si>
  <si>
    <t>Tamandaré/ PE</t>
  </si>
  <si>
    <t>Sirinhaém (PE)/NE</t>
  </si>
  <si>
    <t>Specie</t>
  </si>
  <si>
    <t>Tmax</t>
  </si>
  <si>
    <t>Author</t>
  </si>
  <si>
    <t>Region</t>
  </si>
  <si>
    <t>Location</t>
  </si>
  <si>
    <t>References</t>
  </si>
  <si>
    <t>Almeida, C.J.; Beza, J.A.; Fransozo, V.; Castilho, A.L.; Fransozo, A. 2012. Reproductive biology and recruitment of Xiphopenaeus kroyeri in a marine protected area in the Western Atlantic: implications for resource management. Aquatic Biology, 17: 57–69. https://doi.org/10.3354/ab00462.</t>
  </si>
  <si>
    <r>
      <t xml:space="preserve">Amado, M.A.P.M. 1978. Estudos biológicos do </t>
    </r>
    <r>
      <rPr>
        <i/>
        <sz val="12"/>
        <color theme="1"/>
        <rFont val="Times New Roman"/>
        <family val="1"/>
      </rPr>
      <t>Xiphopenaeus kroyeri</t>
    </r>
    <r>
      <rPr>
        <sz val="12"/>
        <color theme="1"/>
        <rFont val="Times New Roman"/>
        <family val="1"/>
      </rPr>
      <t xml:space="preserve"> (Heller, 1862), camarão sete-barbas (Crustacea, Penaeidae) de Matinhos, PR. PhD thesis. Universidade Federal do Paraná, Curitiba, Brazil.</t>
    </r>
  </si>
  <si>
    <t>Aragão, J.A.N. 2012. Dinâmica populacional e avaliação do estoque do camarão rosa (Farfantepenaeus subtilis Pérez-Farfante 1967) na plataforma continental amazônica brasileira. PhD thesis. Universidade de São Paulo, Brazil. https://doi.org/10.11606/T.18.2012.tde-22012013-110850.</t>
  </si>
  <si>
    <r>
      <t xml:space="preserve">Aragão, J.A.N.; Silva, K.C.A.; Cintra, I.H.A. 2005. A pesca industrial do camarão na costa norte. In: Oliveira, G.M. (ed.). </t>
    </r>
    <r>
      <rPr>
        <i/>
        <sz val="12"/>
        <color theme="1"/>
        <rFont val="Times New Roman"/>
        <family val="1"/>
      </rPr>
      <t>Pesca e aquicultura no Brasil, 1991–2000: produção e balança comercial</t>
    </r>
    <r>
      <rPr>
        <sz val="12"/>
        <color theme="1"/>
        <rFont val="Times New Roman"/>
        <family val="1"/>
      </rPr>
      <t>. Brasília: IBAMA, pp. 1–260.</t>
    </r>
  </si>
  <si>
    <t>Aragão, J.A.N.; Silva, K.C.A.; Cintra, I.H.A. 2015. Pesca industrial do camarão-rosa na plataforma continental Amazônica: aspectos da dinâmica da população, avaliação do estoque e influência dos parâmetros ambientais. Acta Fisheries and Aquatic Resources, 3: 77–90. https://doi.org/10.2312/ActaFish.2015.3.1.77-90.</t>
  </si>
  <si>
    <r>
      <t xml:space="preserve">Barioto, J.G. 2017. Ecologia e estrutura populacional do camarão-branco </t>
    </r>
    <r>
      <rPr>
        <i/>
        <sz val="12"/>
        <color theme="1"/>
        <rFont val="Times New Roman"/>
        <family val="1"/>
      </rPr>
      <t>Litopenaeus schmitti</t>
    </r>
    <r>
      <rPr>
        <sz val="12"/>
        <color theme="1"/>
        <rFont val="Times New Roman"/>
        <family val="1"/>
      </rPr>
      <t xml:space="preserve"> (Burkenroad, 1936) (Dendrobranchiata: Penaeoidea) na região de Cananéia, litoral sul do estado de São Paulo. PhD thesis. Universidade Estadual Paulista, São Paulo, Brazil.</t>
    </r>
  </si>
  <si>
    <t>Beacham, T.D.; Wallace, C.; MacConnachie, C.; Jonsen, K.; McIntosh, B.; Candy, J.R.; Devlin, R.H.; Withler, R.E. 2017. Population and individual identification of coho salmon in British Columbia through parentage-based tagging and genetic stock identification: an alternative to coded-wire tags. Canadian Journal of Fisheries and Aquatic Sciences, 74: 1391–1410. https://doi.org/10.1139/cjfas-2016-0452.</t>
  </si>
  <si>
    <t>Begg, G.A.; Friedland, K.D.; Pearce, J.B. 1999. Stock identification and its role in stock assessment and fisheries management: an overview. Fisheries Research, 43: 1–8. https://doi.org/10.1016/S0165-7836(99)00062-4.</t>
  </si>
  <si>
    <t>Berkson, J.E.; Thorson, J.T. 2015. The determination of data-poor catch limits in the United States: is there a better way? ICES Journal of Marine Science, 72: 237–242. https://doi.org/10.1093/icesjms/fsu085.</t>
  </si>
  <si>
    <t>Beverton, R.J.H.; Holt, S.J. 1957. On the dynamics of exploited fish populations. London: Chapman &amp; Hall. https://doi.org/10.1007/978-94-011-2106-4.</t>
  </si>
  <si>
    <t>Branco, J.O. 2005. Biologia e pesca do camarão-sete-barbas Xiphopenaeus kroyeri (Heller) (Crustacea, Penaeidae) na Armação do Itapocoroy, Santa Catarina, Brasil. Revista Brasileira de Zoologia, 22, 1050–1062. https://doi.org/10.1590/S0101-81752005000400034.</t>
  </si>
  <si>
    <r>
      <t xml:space="preserve">Branco, J.O.; Lunardon-Branco, M.J.; Finis, A. 1994. Crescimento de </t>
    </r>
    <r>
      <rPr>
        <i/>
        <sz val="12"/>
        <color theme="1"/>
        <rFont val="Times New Roman"/>
        <family val="1"/>
      </rPr>
      <t>Xiphopenaeus kroyeri</t>
    </r>
    <r>
      <rPr>
        <sz val="12"/>
        <color theme="1"/>
        <rFont val="Times New Roman"/>
        <family val="1"/>
      </rPr>
      <t xml:space="preserve"> (Heller, 1862) (Crustacea: Natantia: Penaeidae) da região de Matinhos, Paraná, Brasil. </t>
    </r>
    <r>
      <rPr>
        <i/>
        <sz val="12"/>
        <color theme="1"/>
        <rFont val="Times New Roman"/>
        <family val="1"/>
      </rPr>
      <t>Arquivos de Biologia e Tecnologia</t>
    </r>
    <r>
      <rPr>
        <sz val="12"/>
        <color theme="1"/>
        <rFont val="Times New Roman"/>
        <family val="1"/>
      </rPr>
      <t>, 37, 1–8.</t>
    </r>
  </si>
  <si>
    <t>Branco, J.O.; Lunardon-Branco, M.J.; Souto, F.X.; Guerra, C.R. 1999. Estrutura populacional do camarão sete-barbas Xiphopenaeus kroyeri (Heller, 1862), na foz do Rio Itajaí-Açú, Itajaí, SC, Brasil. Brazilian Archives of Biology and Technology, 42(1). https://doi.org/10.1590/S1516-89131999000100016.</t>
  </si>
  <si>
    <t>Branco, J.O.; Verani, J.R. 1998. Estudo populacional do camarão-rosa Penaeus paulensis Pérez Farfante (Natantia, Penaeidae) na Lagoa da Conceição, Santa Catarina, Brasil. Revista Brasileira de Zoologia, 15, 353–364. https://doi.org/10.1590/S0101-81751998000200008.</t>
  </si>
  <si>
    <t>Campos, B.R.; Branco, J.O.; D’Incao, F. 2011. Crescimento do camarão-sete-barbas (Xiphopenaeus kroyeri Heller 1862) na Baía de Tijucas, Tijucas, SC, Brasil. Atlântica, 33(2), 201–208. https://doi.org/10.5088/atlântica.v33i2.1442.</t>
  </si>
  <si>
    <r>
      <t xml:space="preserve">Carvalho, C. 2013. Crescimento e mortalidade do camarão branco </t>
    </r>
    <r>
      <rPr>
        <i/>
        <sz val="12"/>
        <color theme="1"/>
        <rFont val="Times New Roman"/>
        <family val="1"/>
      </rPr>
      <t>Litopenaeus schmitti</t>
    </r>
    <r>
      <rPr>
        <sz val="12"/>
        <color theme="1"/>
        <rFont val="Times New Roman"/>
        <family val="1"/>
      </rPr>
      <t xml:space="preserve"> (Burkenroad, 1936) (Crustacea: Decapoda: Penaeidae) em ambiente natural e em confinamento. PhD thesis. Universidade Federal Rural do Rio de Janeiro, Rio de Janeiro, Brazil.</t>
    </r>
  </si>
  <si>
    <r>
      <t xml:space="preserve">Carvalho, A.S.S., Martinelli, J.M., Nevis, A.B., Isaac, V. 2015. Populational biology of three Penaeidae shrimps (Decapoda) in the Curuçá estuary on the northern coast of Brazil. </t>
    </r>
    <r>
      <rPr>
        <i/>
        <sz val="12"/>
        <color theme="1"/>
        <rFont val="Times New Roman"/>
        <family val="1"/>
      </rPr>
      <t>Boletim do Instituto de Pesca</t>
    </r>
    <r>
      <rPr>
        <sz val="12"/>
        <color theme="1"/>
        <rFont val="Times New Roman"/>
        <family val="1"/>
      </rPr>
      <t xml:space="preserve"> 41, 975–986.</t>
    </r>
  </si>
  <si>
    <t>Carvalho-Batista, A., Terossi, M., Zara, F.J., et al. 2019. A multigene and morphological analysis expands the diversity of the seabob shrimp Xiphopenaeus Smith, 1869 (Decapoda: Penaeidae), with descriptions of two new species. Scientific Reports 9, 15281. https://doi.org/10.1038/s41598-019-51484-3.</t>
  </si>
  <si>
    <t>Castilho, A.L., Bauer, R.T., Freire, A.M.F., Fransozo, V., Costa, R.C., Grabowski, R.C., Fransozo, A. 2015. Lifespan and reproductive dynamics of the commercially important sea bob shrimp Xiphopenaeus kroyeri (Penaeoidea): Synthesis of a 5-year study. Journal of Crustacean Biology 35(1), 30–40. https://doi.org/10.1163/1937240X-00002300.</t>
  </si>
  <si>
    <t>Castilho, A.L., Gavio, M.A., Costa, R.C., Boschi, E.E., Raymond, T.B., Fransozo, A. 2007. Latitudinal variation in population structure and reproductive pattern of the endemic South American shrimp Artemesia longinaris (Decapoda: Penaeoidea). Journal of Crustacean Biology 27, 548–552. https://doi.org/10.1651/S-2788.1.</t>
  </si>
  <si>
    <r>
      <t xml:space="preserve">Cintra, I.H.A., Aragão, J.A.N., Silva, K.C.A. 2004. Maturação gonadal do camarão-rosa, </t>
    </r>
    <r>
      <rPr>
        <i/>
        <sz val="12"/>
        <color rgb="FF000000"/>
        <rFont val="Times New Roman"/>
        <family val="1"/>
      </rPr>
      <t>Farfantepenaeus subtilis</t>
    </r>
    <r>
      <rPr>
        <sz val="12"/>
        <color rgb="FF000000"/>
        <rFont val="Times New Roman"/>
        <family val="1"/>
      </rPr>
      <t xml:space="preserve"> (Pérez-Farfante, 1967), na região norte do Brasil. </t>
    </r>
    <r>
      <rPr>
        <i/>
        <sz val="12"/>
        <color rgb="FF000000"/>
        <rFont val="Times New Roman"/>
        <family val="1"/>
      </rPr>
      <t>Boletim Técnico Científico CEP</t>
    </r>
    <r>
      <rPr>
        <sz val="12"/>
        <color rgb="FF000000"/>
        <rFont val="Times New Roman"/>
        <family val="1"/>
      </rPr>
      <t xml:space="preserve"> 4, 21–29.</t>
    </r>
  </si>
  <si>
    <r>
      <t xml:space="preserve">Coelho, P.A., Santos, M.C.F. 1993. Época da reprodução do camarão branco, </t>
    </r>
    <r>
      <rPr>
        <i/>
        <sz val="12"/>
        <color theme="1"/>
        <rFont val="Times New Roman"/>
        <family val="1"/>
      </rPr>
      <t>Penaeus schmitti</t>
    </r>
    <r>
      <rPr>
        <sz val="12"/>
        <color theme="1"/>
        <rFont val="Times New Roman"/>
        <family val="1"/>
      </rPr>
      <t xml:space="preserve"> Burkenroad (Crustacea, Decapoda, Penaeidae) na região de Tamandaré-PE. </t>
    </r>
    <r>
      <rPr>
        <i/>
        <sz val="12"/>
        <color theme="1"/>
        <rFont val="Times New Roman"/>
        <family val="1"/>
      </rPr>
      <t>Boletim Técnico Científico CEP</t>
    </r>
    <r>
      <rPr>
        <sz val="12"/>
        <color theme="1"/>
        <rFont val="Times New Roman"/>
        <family val="1"/>
      </rPr>
      <t xml:space="preserve"> 1, 157–169.</t>
    </r>
  </si>
  <si>
    <r>
      <t xml:space="preserve">Coelho, P.A., Santos, M.C.F. 1993. Época da reprodução do camarão sete-barbas, </t>
    </r>
    <r>
      <rPr>
        <i/>
        <sz val="12"/>
        <color rgb="FF000000"/>
        <rFont val="Times New Roman"/>
        <family val="1"/>
      </rPr>
      <t>Xiphopenaeus kroyeri</t>
    </r>
    <r>
      <rPr>
        <sz val="12"/>
        <color rgb="FF000000"/>
        <rFont val="Times New Roman"/>
        <family val="1"/>
      </rPr>
      <t xml:space="preserve"> (Heller, 1862) (Crustacea, Decapoda, Penaeidae) na região de Tamandaré-PE. </t>
    </r>
    <r>
      <rPr>
        <i/>
        <sz val="12"/>
        <color rgb="FF000000"/>
        <rFont val="Times New Roman"/>
        <family val="1"/>
      </rPr>
      <t>Boletim Técnico Científico CEP</t>
    </r>
    <r>
      <rPr>
        <sz val="12"/>
        <color rgb="FF000000"/>
        <rFont val="Times New Roman"/>
        <family val="1"/>
      </rPr>
      <t xml:space="preserve"> 1, 171–186.</t>
    </r>
  </si>
  <si>
    <t>Cope, J.M., Hamel, O.S. 2022. Upgrading from M version 0.2: An application-based method for practical estimation, evaluation and uncertainty characterization of natural mortality. Fisheries Research 256, 106493. https://doi.org/10.1016/j.fishres.2022.106493.</t>
  </si>
  <si>
    <t>Costa, R.C., Lopes, M., Castilho, A.L., Fransozo, A., Simões, S.M. 2008. Abundance and distribution of juvenile pink shrimps Farfantepenaeus spp. in a mangrove estuary and adjacent bay on the northern shore of São Paulo State, southeastern Brazil. Investigations Report Development 52, 59–68. https://doi.org/10.1080/07924259.2008.9652272.</t>
  </si>
  <si>
    <t>Craveiro, C., Peixoto, S., Silva, E.F., Nolé, L., Lira, A.S., Castro-Neto, H., Frédou, F.L., Soares, R. 2019. Reproductive dynamics of the white shrimp Litopenaeus schmitti (Burkenroad 1936) in a beach seine fishery in northeastern Brazil. Investigations Report Development 63(2), 111–121. https://doi.org/10.1080/07924259.2019.1575923.</t>
  </si>
  <si>
    <r>
      <t xml:space="preserve">D'Incao, F. 1983. Estudo do crescimento e da mortalidade de </t>
    </r>
    <r>
      <rPr>
        <i/>
        <sz val="12"/>
        <color rgb="FF000000"/>
        <rFont val="Times New Roman"/>
        <family val="1"/>
      </rPr>
      <t>Penaeus (Farfantepenaeus) paulensis</t>
    </r>
    <r>
      <rPr>
        <sz val="12"/>
        <color rgb="FF000000"/>
        <rFont val="Times New Roman"/>
        <family val="1"/>
      </rPr>
      <t xml:space="preserve"> Pérez Farfante, 1967, na Lagoa dos Patos, RS, Brasil. PhD thesis. Universidade Federal do Rio Grande do Sul, Rio Grande do Sul, Brazil.</t>
    </r>
  </si>
  <si>
    <r>
      <t xml:space="preserve">D'Incao, F. 1984. Estudo sobre o crescimento de </t>
    </r>
    <r>
      <rPr>
        <i/>
        <sz val="12"/>
        <color rgb="FF000000"/>
        <rFont val="Times New Roman"/>
        <family val="1"/>
      </rPr>
      <t>Penaeus (Farfantepenaeus) paulensis</t>
    </r>
    <r>
      <rPr>
        <sz val="12"/>
        <color rgb="FF000000"/>
        <rFont val="Times New Roman"/>
        <family val="1"/>
      </rPr>
      <t xml:space="preserve"> Pérez Farfante, 1967 da Lagoa dos Patos, RS, Brasil (Decapoda, Penaeidae). </t>
    </r>
    <r>
      <rPr>
        <i/>
        <sz val="12"/>
        <color rgb="FF000000"/>
        <rFont val="Times New Roman"/>
        <family val="1"/>
      </rPr>
      <t>Atlântica</t>
    </r>
    <r>
      <rPr>
        <sz val="12"/>
        <color rgb="FF000000"/>
        <rFont val="Times New Roman"/>
        <family val="1"/>
      </rPr>
      <t>, 7, 73–84.</t>
    </r>
  </si>
  <si>
    <r>
      <t xml:space="preserve">D'Incao, F. 1991. Pesca e biologia de </t>
    </r>
    <r>
      <rPr>
        <i/>
        <sz val="12"/>
        <color theme="1"/>
        <rFont val="Times New Roman"/>
        <family val="1"/>
      </rPr>
      <t>Penaeus paulensis</t>
    </r>
    <r>
      <rPr>
        <sz val="12"/>
        <color theme="1"/>
        <rFont val="Times New Roman"/>
        <family val="1"/>
      </rPr>
      <t xml:space="preserve"> na Lagoa dos Patos, RS. </t>
    </r>
    <r>
      <rPr>
        <i/>
        <sz val="12"/>
        <color theme="1"/>
        <rFont val="Times New Roman"/>
        <family val="1"/>
      </rPr>
      <t>Atlântica</t>
    </r>
    <r>
      <rPr>
        <sz val="12"/>
        <color theme="1"/>
        <rFont val="Times New Roman"/>
        <family val="1"/>
      </rPr>
      <t>, 13, 159–169.</t>
    </r>
  </si>
  <si>
    <t>D'Incao, F. 1995. Taxonomia, padrões distribucionais e ecológicos de Dendrobranchiata (Crustacea: Decapoda) do Brasil e do Atlântico Ocidental. PhD thesis. Universidade Federal do Paraná, Curitiba, Brazil.</t>
  </si>
  <si>
    <r>
      <t xml:space="preserve">D'Incao, F., Calazans, D.K. 1978. Relações biométricas do “camarão rosa” </t>
    </r>
    <r>
      <rPr>
        <i/>
        <sz val="12"/>
        <color rgb="FF000000"/>
        <rFont val="Times New Roman"/>
        <family val="1"/>
      </rPr>
      <t xml:space="preserve">Penaeus paulensis </t>
    </r>
    <r>
      <rPr>
        <sz val="12"/>
        <color rgb="FF000000"/>
        <rFont val="Times New Roman"/>
        <family val="1"/>
      </rPr>
      <t xml:space="preserve">Pérez-Farfante, 1967, na Lagoa dos Patos, RS, Brasil. </t>
    </r>
    <r>
      <rPr>
        <i/>
        <sz val="12"/>
        <color rgb="FF000000"/>
        <rFont val="Times New Roman"/>
        <family val="1"/>
      </rPr>
      <t>Atlântica</t>
    </r>
    <r>
      <rPr>
        <sz val="12"/>
        <color rgb="FF000000"/>
        <rFont val="Times New Roman"/>
        <family val="1"/>
      </rPr>
      <t xml:space="preserve"> 3, 57–66.</t>
    </r>
  </si>
  <si>
    <r>
      <t xml:space="preserve">D’Incao, F.; Fonseca, D.B.; Valentini, H.; Rodrigues, L.F. 2002. Avaliação da pesca de camarões nas regiões Sudeste e Sul do Brasil 1965–1999. </t>
    </r>
    <r>
      <rPr>
        <i/>
        <sz val="12"/>
        <color theme="1"/>
        <rFont val="Times New Roman"/>
        <family val="1"/>
      </rPr>
      <t>Atlântica</t>
    </r>
    <r>
      <rPr>
        <sz val="12"/>
        <color theme="1"/>
        <rFont val="Times New Roman"/>
        <family val="1"/>
      </rPr>
      <t>, 24: 103–116.</t>
    </r>
  </si>
  <si>
    <t>Eutrópio, F.J.; Mariante, F.L.F.; Junior, P.D.F.; Krohling, W. 2013. Population parameters of the shrimp Xiphopenaeus kroyeri (Heller, 1862) (Crustacea, Penaeidae), caught by artisanal fisheries in Anchieta, Espírito Santo State. Acta Scientiarum. Biological Sciences, 35(2): 141–147. https://doi.org/10.4025/actascibiolsci.v35i2.13408.</t>
  </si>
  <si>
    <t>FAO. 2025. GLOBEFISH Quarterly Shrimp Analysis – May 2025. Available at: https://www.fao.org/in-action/globefish/home/globefish---quarterly-shrimp-analysis---may-2025/en. Accessed on: December 2, 2025.</t>
  </si>
  <si>
    <r>
      <t xml:space="preserve">Fernandes, J.M. 2012. Pesca e biologia populacional dos camarões-rosa, </t>
    </r>
    <r>
      <rPr>
        <i/>
        <sz val="12"/>
        <color theme="1"/>
        <rFont val="Times New Roman"/>
        <family val="1"/>
      </rPr>
      <t>Farfantepenaeus paulensis</t>
    </r>
    <r>
      <rPr>
        <sz val="12"/>
        <color theme="1"/>
        <rFont val="Times New Roman"/>
        <family val="1"/>
      </rPr>
      <t xml:space="preserve"> (Pérez-Farfante, 1967) e </t>
    </r>
    <r>
      <rPr>
        <i/>
        <sz val="12"/>
        <color theme="1"/>
        <rFont val="Times New Roman"/>
        <family val="1"/>
      </rPr>
      <t>F. brasiliensis</t>
    </r>
    <r>
      <rPr>
        <sz val="12"/>
        <color theme="1"/>
        <rFont val="Times New Roman"/>
        <family val="1"/>
      </rPr>
      <t xml:space="preserve"> (Latreille, 1817), desembarcado no estado de São Paulo, Brasil. PhD Thesis. Instituto de Pesca–APTA–SAA, São Paulo.</t>
    </r>
  </si>
  <si>
    <t>Fernandes, L.P.; Silva, A.C.; Jardim, L.P.; Keunecke, K.A.; Di Beneditto, A.P.M. 2011. Growth and recruitment of the Atlantic seabob shrimp, Xiphopenaeus kroyeri (Heller, 1862) (Decapoda, Penaeidae), on the coast of Rio de Janeiro, Southeastern Brazil. Crustaceana, 84: 1465–1480. https://doi.org/10.1163/156854011X605765.</t>
  </si>
  <si>
    <t>Ferreira, K.A.; Braga, A.A. 2023. Ecological and reproductive parameters of the seabob shrimp, Xiphopenaeus spp. (Heller, 1862) on the southern coast of the state of Espírito Santo, Brazil: potential use of less sampling effort. Nauplius, 31: e2023002. https://doi.org/10.1590/2358-2936e2023002.</t>
  </si>
  <si>
    <t>Francisco, A.K.; Pinheiro, A.P.; Silva, T.B.; Galetti, P.M. 2009. Isolation and characterization of microsatellites in three overexploited penaeid shrimp species along the Brazilian coastline. Conservation Genetics, 10: 563–566. https://doi.org/10.1007/s10592-008-9570-9.</t>
  </si>
  <si>
    <t>Gallaway, B.J.; Gazey, W.J.; Cole, J.G. 2017. An updated description of the benefits and consequences of red snapper shrimp trawl bycatch management actions in the Gulf of Mexico. North American Journal of Fisheries Management, 2: 414–419. https://doi.org/10.1080/02755947.2016.1271842.</t>
  </si>
  <si>
    <r>
      <t xml:space="preserve">Gillett, R. 2008. </t>
    </r>
    <r>
      <rPr>
        <i/>
        <sz val="12"/>
        <color theme="1"/>
        <rFont val="Times New Roman"/>
        <family val="1"/>
      </rPr>
      <t>Global Study of Shrimp Fisheries</t>
    </r>
    <r>
      <rPr>
        <sz val="12"/>
        <color theme="1"/>
        <rFont val="Times New Roman"/>
        <family val="1"/>
      </rPr>
      <t>. FAO Fisheries Technical Paper No. 475. Rome: Food and Agriculture Organization of the United Nations.</t>
    </r>
  </si>
  <si>
    <t>Grabowski, R.C.; Simões, S.M.; Castilho, A.L. 2014. Population structure, sex ratio, and growth of the seabob shrimp Xiphopenaeus kroyeri (Decapoda, Penaeidae) from coastal waters of southern Brazil. ZooKeys, 457: 253–269. https://doi.org/10.3897/zookeys.457.6682.</t>
  </si>
  <si>
    <r>
      <t xml:space="preserve">Graça-Lopes, R.; Santos, E.P.; Rodrigues, S.E.; Braga, F.M.S.; Puzzi, A. 2007. Aportes ao conhecimento da biologia e da pesca do camarão-sete-barbas </t>
    </r>
    <r>
      <rPr>
        <i/>
        <sz val="12"/>
        <color theme="1"/>
        <rFont val="Times New Roman"/>
        <family val="1"/>
      </rPr>
      <t>Xiphopenaeus kroyeri</t>
    </r>
    <r>
      <rPr>
        <sz val="12"/>
        <color theme="1"/>
        <rFont val="Times New Roman"/>
        <family val="1"/>
      </rPr>
      <t xml:space="preserve"> (Heller, 1862) no litoral do estado de São Paulo, Brasil. </t>
    </r>
    <r>
      <rPr>
        <i/>
        <sz val="12"/>
        <color theme="1"/>
        <rFont val="Times New Roman"/>
        <family val="1"/>
      </rPr>
      <t>Boletim do Instituto de Pesca</t>
    </r>
    <r>
      <rPr>
        <sz val="12"/>
        <color theme="1"/>
        <rFont val="Times New Roman"/>
        <family val="1"/>
      </rPr>
      <t>, 33(1): 63–84.</t>
    </r>
  </si>
  <si>
    <r>
      <t xml:space="preserve">Graça-Lopes, R.; Tomás, A.R.G.; Tutui, S.L.S.; Severino-Rodrigues, E.; Puzzi, A. 2002. Comparação da dinâmica de desembarques de frotas camaroeiras do Estado de São Paulo, Brasil. </t>
    </r>
    <r>
      <rPr>
        <i/>
        <sz val="12"/>
        <color theme="1"/>
        <rFont val="Times New Roman"/>
        <family val="1"/>
      </rPr>
      <t>Boletim do Instituto de Pesca</t>
    </r>
    <r>
      <rPr>
        <sz val="12"/>
        <color theme="1"/>
        <rFont val="Times New Roman"/>
        <family val="1"/>
      </rPr>
      <t>, 28: 163–171.</t>
    </r>
  </si>
  <si>
    <t>Gribble, N.; Dredge, M. 1994. Mixed species yield-per-recruit simulations of the effect of seasonal closure on a central Queensland coast prawn trawling ground. Canadian Journal of Fisheries and Aquatic Sciences, 51: 998–1011. https://doi.org/10.1139/f94-100.</t>
  </si>
  <si>
    <r>
      <t xml:space="preserve">Guimarães, F.J. 2009. </t>
    </r>
    <r>
      <rPr>
        <i/>
        <sz val="12"/>
        <color theme="1"/>
        <rFont val="Times New Roman"/>
        <family val="1"/>
      </rPr>
      <t>Biologia do camarão-sete-barbas, Xiphopenaeus kroyeri (Heller, 1862) (Crustacea, Decapoda, Penaeidae) e aspectos da sua pesca na reserva extrativista marinha do Corumbau, BA</t>
    </r>
    <r>
      <rPr>
        <sz val="12"/>
        <color theme="1"/>
        <rFont val="Times New Roman"/>
        <family val="1"/>
      </rPr>
      <t>. PhD Thesis. Universidade Federal da Paraíba, João Pessoa.</t>
    </r>
  </si>
  <si>
    <t>Gusmão, J.; Lazoski, C.; Solé-Cava, A.M. 2005. Population genetic structure of Brazilian shrimp species (Farfantepenaeus sp., F. brasiliensis, P. paulensis and Litopenaeus schmitti: Decapoda: Penaeidae). Genetics and Molecular Biology, 28(1): 165–171. https://doi.org/10.1590/S1415-47572005000100029.</t>
  </si>
  <si>
    <r>
      <t xml:space="preserve">Gusmão, J.; Piergiorge, R.M.; Tavares, C. 2013. The contribution of genetics in the study of the sea-bob shrimp populations from the Brazilian coast. </t>
    </r>
    <r>
      <rPr>
        <i/>
        <sz val="12"/>
        <color theme="1"/>
        <rFont val="Times New Roman"/>
        <family val="1"/>
      </rPr>
      <t>Boletim do Instituto de Pesca</t>
    </r>
    <r>
      <rPr>
        <sz val="12"/>
        <color theme="1"/>
        <rFont val="Times New Roman"/>
        <family val="1"/>
      </rPr>
      <t>, 39: 323–338.</t>
    </r>
  </si>
  <si>
    <r>
      <t xml:space="preserve">Gulland, J.A.; Boerema, L.K. 1973. Scientific advice on catch levels. </t>
    </r>
    <r>
      <rPr>
        <i/>
        <sz val="12"/>
        <color theme="1"/>
        <rFont val="Times New Roman"/>
        <family val="1"/>
      </rPr>
      <t>Fishery Bulletin</t>
    </r>
    <r>
      <rPr>
        <sz val="12"/>
        <color theme="1"/>
        <rFont val="Times New Roman"/>
        <family val="1"/>
      </rPr>
      <t>, 71(2): 325–335.</t>
    </r>
  </si>
  <si>
    <r>
      <t xml:space="preserve">Haimovici, M.; Mendonça, J.T. 1996. Análise da pesca de arrasto de tangones de peixes e camarões no sul do Brasil. </t>
    </r>
    <r>
      <rPr>
        <i/>
        <sz val="12"/>
        <color theme="1"/>
        <rFont val="Times New Roman"/>
        <family val="1"/>
      </rPr>
      <t>Atlântica</t>
    </r>
    <r>
      <rPr>
        <sz val="12"/>
        <color theme="1"/>
        <rFont val="Times New Roman"/>
        <family val="1"/>
      </rPr>
      <t>, 18: 143–160.</t>
    </r>
  </si>
  <si>
    <t>Heckler, G.S.; Simões, S.M.; Lopes, M.; Zara, F.J.; Costa, R.C. 2013. Biologia populacional e reprodutiva do camarão sete-barbas na Baía de Santos, São Paulo. Boletim do Instituto de Pesca, 39(3): 283–297. https://doi.org/10.20950/1678-2305.2013v39n3p283.</t>
  </si>
  <si>
    <r>
      <t xml:space="preserve">Holthuis, L.B. 1980. </t>
    </r>
    <r>
      <rPr>
        <i/>
        <sz val="12"/>
        <color theme="1"/>
        <rFont val="Times New Roman"/>
        <family val="1"/>
      </rPr>
      <t>Shrimp and prawns of the world. An annotated catalogue of species of interest to fisheries</t>
    </r>
    <r>
      <rPr>
        <sz val="12"/>
        <color theme="1"/>
        <rFont val="Times New Roman"/>
        <family val="1"/>
      </rPr>
      <t xml:space="preserve">. FAO Fisheries Synopsis No. 125. Rome. </t>
    </r>
  </si>
  <si>
    <r>
      <t xml:space="preserve">IBAMA; MMA. 2008. </t>
    </r>
    <r>
      <rPr>
        <i/>
        <sz val="12"/>
        <color theme="1"/>
        <rFont val="Times New Roman"/>
        <family val="1"/>
      </rPr>
      <t>Estatística de Pesca 2008</t>
    </r>
    <r>
      <rPr>
        <sz val="12"/>
        <color theme="1"/>
        <rFont val="Times New Roman"/>
        <family val="1"/>
      </rPr>
      <t>. Ministério do Meio Ambiente e Instituto Brasileiro de Meio Ambiente e dos Recursos Naturais e Renováveis, Ceará, Brazil.</t>
    </r>
  </si>
  <si>
    <r>
      <t xml:space="preserve">Isaac, V.J.; Dias Neto, J.; Damasceno, F.G. 1992. </t>
    </r>
    <r>
      <rPr>
        <i/>
        <sz val="12"/>
        <color theme="1"/>
        <rFont val="Times New Roman"/>
        <family val="1"/>
      </rPr>
      <t>Camarão-rosa da costa norte. Biologia, dinâmica e administração pesqueira</t>
    </r>
    <r>
      <rPr>
        <sz val="12"/>
        <color theme="1"/>
        <rFont val="Times New Roman"/>
        <family val="1"/>
      </rPr>
      <t>. Série Estudos de Pesca. IBAMA, Brasília, Brazil.</t>
    </r>
  </si>
  <si>
    <t>Junior, F.F.; Schroeder, R.; Hillesheim, J.C.; Wahrlich, R.; Diehl, F.L.; Branco, J.O. 2021. Bioecology of the white shrimp Litopenaeus schmitti in Babitonga Bay. Do the current regulation of closed seasons is suitable to the life cycle of this species? Regional Studies in Marine Science, 46: 101859. https://doi.org/10.1016/j.rsma.2021.101859.</t>
  </si>
  <si>
    <t>Kerr, L.A.; Hintzen, N.T.; Cadrin, S.X.; Clausen, L.W.; Dickey-Collas, M.; Goethel, D.R.; Hatfield, E.M.C.; Kritzer, J.P.; Nash, R.D.M. 2017. Lessons learned from practical approaches to reconcile mismatches between biological population structure and stock units of marine fish. ICES Journal of Marine Science, 74: 1708–1722. https://doi.org/10.1093/icesjms/fsw188.</t>
  </si>
  <si>
    <t>Leite, J.R.N.; Petrere, J.R.M. 2006. Growth and mortalities of the pink shrimp Farfantepenaeus brasiliensis Latreille, 1970 and F. paulensis Pérez-Farfante 1967 in Southeast Brazil. Brazilian Journal of Biology, 66: 523–536. https://doi.org/10.1590/S1519-69842006000300019.</t>
  </si>
  <si>
    <t>Lopes, D.F.C.; Silva, E.F.B.; Peixoto, S.R.M.; Frédou, F.L. 2014. Population biology of seabob shrimp Xiphopenaeus kroyeri (Heller, 1862) captured on the south coast of Pernambuco state, Northeastern Brazil. Brazilian Journal of Oceanography, 62(4): 331–340. https://doi.org/10.1590/S1679-87592014079706204.</t>
  </si>
  <si>
    <r>
      <t xml:space="preserve">Lopes, M. 2012. </t>
    </r>
    <r>
      <rPr>
        <i/>
        <sz val="12"/>
        <color theme="1"/>
        <rFont val="Times New Roman"/>
        <family val="1"/>
      </rPr>
      <t>Distribuição e dinâmica populacional dos camarões-rosa, Farfantepenaeus brasiliensis (Latreille, 1817) e F. paulensis (Pérez-Farfante, 1967) e do camarão-branco Litopenaeus schmitti (Burkenroad, 1936) (Decapoda: Dendrobranchiata: Penaeidae) no complexo baía-estuário de Santos - São Vicente, São Paulo, Brasil: subsídios científicos para a averiguação do período ideal de defeso</t>
    </r>
    <r>
      <rPr>
        <sz val="12"/>
        <color theme="1"/>
        <rFont val="Times New Roman"/>
        <family val="1"/>
      </rPr>
      <t>. PhD thesis, Universidade Estadual Paulista, Brasil.</t>
    </r>
  </si>
  <si>
    <r>
      <t xml:space="preserve">Luvesuto, E. 2006. </t>
    </r>
    <r>
      <rPr>
        <i/>
        <sz val="12"/>
        <color theme="1"/>
        <rFont val="Times New Roman"/>
        <family val="1"/>
      </rPr>
      <t>Análise genética e morfométrica da estrutura populacional do camarão branco Litopenaeus schmitti (Decapoda, Crustacea) na costa do Rio Grande do Norte, Brasil: uma abordagem em fina escala</t>
    </r>
    <r>
      <rPr>
        <sz val="12"/>
        <color theme="1"/>
        <rFont val="Times New Roman"/>
        <family val="1"/>
      </rPr>
      <t>. PhD thesis, Universidade Federal de São Carlos, Brasil.</t>
    </r>
  </si>
  <si>
    <t>Machado, I.F.; Dumont, L.F.C.; D’Incao, F. 2009. Stages of gonadal development and mean length at first maturity of wild females of white shrimp Litopenaeus schmitti (Decapoda, Penaeidae) in Southern Brazil. Atlântica, 31(2): 169–175. https://doi.org/10.5088/atl.2009.31.2.169.</t>
  </si>
  <si>
    <t>Martell, S.; Froese, R. 2013. A simple method for estimating MSY from catch and resilience. Fisheries Management and Ecology, 14(4): 504–514. https://doi.org/10.1111/j.1467-2979.2012.00485.x.</t>
  </si>
  <si>
    <r>
      <t xml:space="preserve">Martinelli, J.M. 2005. </t>
    </r>
    <r>
      <rPr>
        <i/>
        <sz val="12"/>
        <color theme="1"/>
        <rFont val="Times New Roman"/>
        <family val="1"/>
      </rPr>
      <t>Estrutura populacional dos camarões Penaeidae no estuário do Rio Caeté, litoral Norte do Brasil</t>
    </r>
    <r>
      <rPr>
        <sz val="12"/>
        <color theme="1"/>
        <rFont val="Times New Roman"/>
        <family val="1"/>
      </rPr>
      <t>. PhD thesis, Universidade Federal do Pará, Pará.</t>
    </r>
  </si>
  <si>
    <r>
      <t xml:space="preserve">Matsuura, Y. 1995. Exploração pesqueira. In: Ministério do Meio Ambiente (ed.). </t>
    </r>
    <r>
      <rPr>
        <i/>
        <sz val="12"/>
        <color theme="1"/>
        <rFont val="Times New Roman"/>
        <family val="1"/>
      </rPr>
      <t>Os ecossistemas brasileiros e os principais macrovetores de desenvolvimento: subsídios ao planejamento da gestão ambiental</t>
    </r>
    <r>
      <rPr>
        <sz val="12"/>
        <color theme="1"/>
        <rFont val="Times New Roman"/>
        <family val="1"/>
      </rPr>
      <t xml:space="preserve"> (pp. 42–48). Ministério do Meio Ambiente, dos Recursos Hídricos e da Amazônia Legal, Brasília, Brazil.</t>
    </r>
  </si>
  <si>
    <r>
      <t xml:space="preserve">Mello, J.T.C. 1973. Estudo populacional do camarão-rosa, </t>
    </r>
    <r>
      <rPr>
        <i/>
        <sz val="12"/>
        <color theme="1"/>
        <rFont val="Times New Roman"/>
        <family val="1"/>
      </rPr>
      <t>Penaeus brasiliensis</t>
    </r>
    <r>
      <rPr>
        <sz val="12"/>
        <color theme="1"/>
        <rFont val="Times New Roman"/>
        <family val="1"/>
      </rPr>
      <t xml:space="preserve"> (Latreille, 1817), e </t>
    </r>
    <r>
      <rPr>
        <i/>
        <sz val="12"/>
        <color theme="1"/>
        <rFont val="Times New Roman"/>
        <family val="1"/>
      </rPr>
      <t>Penaeus paulensis</t>
    </r>
    <r>
      <rPr>
        <sz val="12"/>
        <color theme="1"/>
        <rFont val="Times New Roman"/>
        <family val="1"/>
      </rPr>
      <t xml:space="preserve"> (Pérez-Farfante, 1967). </t>
    </r>
    <r>
      <rPr>
        <i/>
        <sz val="12"/>
        <color theme="1"/>
        <rFont val="Times New Roman"/>
        <family val="1"/>
      </rPr>
      <t>Boletim do Instituto de Pesca</t>
    </r>
    <r>
      <rPr>
        <sz val="12"/>
        <color theme="1"/>
        <rFont val="Times New Roman"/>
        <family val="1"/>
      </rPr>
      <t>, 2: 19–65.</t>
    </r>
  </si>
  <si>
    <t>Melnychuk, M.C.; Kurota, H.; Mace, P.M. et al. 2021. Identifying management actions that promote sustainable fisheries. Nature Sustainability, 4: 440–449. https://doi.org/10.1038/s41893-020-00668-1.</t>
  </si>
  <si>
    <t>Miazaki, L.F.; Santos, A.P.F.; Salvati, D.S.; Simões, S.M.; Costa, R.C. 2018. Growth, longevity, and juvenile recruitment of the white shrimp Litopenaeus schmitti (Burkenroad, 1936) (Decapoda: Penaeoidea) in southeastern Brazil. Acta Scientiarum. Biological Sciences, 40: 118–142. https://doi.org/10.4025/actascibiolsci.v40i1.40379.</t>
  </si>
  <si>
    <t>Mildenberger, T.K.; Taylor, M.H.; Wolff, M. 2017. TropFishR: an R package for fisheries analysis with length-frequency data. Methods in Ecology and Evolution, 8: 1520–1527. https://doi.org/10.1111/2041-210X.12791.</t>
  </si>
  <si>
    <t>Murawski, S.A. 1984. Mixed-species yield per recruitment analysis accounting for technological interactions. Canadian Journal of Fisheries and Aquatic Sciences, 41: 897–916. https://doi.org/10.1139/f84-106.</t>
  </si>
  <si>
    <t>Musiello-Fernandes, J., Zappes, C.A., &amp; Hostim-Silva, M. 2017. Small-scale shrimp fisheries on the Brazilian coast: Stakeholders perceptions of the closed season and integrated management. Ocean &amp; Coastal Management, 148: 89–96. https://doi.org/10.1016/j.ocecoaman.2017.07.018.</t>
  </si>
  <si>
    <r>
      <t xml:space="preserve">Nascimento, P.A.M., &amp; Poli, C.R. 1986. Curva de crescimento do camarão sete-barbas, </t>
    </r>
    <r>
      <rPr>
        <i/>
        <sz val="12"/>
        <color theme="1"/>
        <rFont val="Times New Roman"/>
        <family val="1"/>
      </rPr>
      <t>Xiphopenaeus kroyeri</t>
    </r>
    <r>
      <rPr>
        <sz val="12"/>
        <color theme="1"/>
        <rFont val="Times New Roman"/>
        <family val="1"/>
      </rPr>
      <t xml:space="preserve"> (Heller, 1862), na Baía de Tijucas – Santa Catarina. In </t>
    </r>
    <r>
      <rPr>
        <i/>
        <sz val="12"/>
        <color theme="1"/>
        <rFont val="Times New Roman"/>
        <family val="1"/>
      </rPr>
      <t>Seminário sobre ciências do mar, Florianópolis: Resumos</t>
    </r>
    <r>
      <rPr>
        <sz val="12"/>
        <color theme="1"/>
        <rFont val="Times New Roman"/>
        <family val="1"/>
      </rPr>
      <t xml:space="preserve"> (pp. 37–41). Florianópolis, Brazil.</t>
    </r>
  </si>
  <si>
    <r>
      <t xml:space="preserve">Neiva, G.S., &amp; Wise, J.P. 1963. The biology and fishery of the sea bob shrimp of Santos Bay, Brazil. In </t>
    </r>
    <r>
      <rPr>
        <i/>
        <sz val="12"/>
        <color theme="1"/>
        <rFont val="Times New Roman"/>
        <family val="1"/>
      </rPr>
      <t>Proceedings of the Gulf and Caribbean Fisheries Institute</t>
    </r>
    <r>
      <rPr>
        <sz val="12"/>
        <color theme="1"/>
        <rFont val="Times New Roman"/>
        <family val="1"/>
      </rPr>
      <t xml:space="preserve"> 16, 131–139.</t>
    </r>
  </si>
  <si>
    <t>NOAA/NMFS (2019, online). Office of Science and Technology – Annual commercial landing statistics, 2019. National Oceanic and Atmospheric Administration (NOAA), National Marine Fisheries Service (NMFS). Available at: https://www.fisheries.noaa.gov/foss/f?p=215:200:3458588479033:::::. Accessed on: Sept. 2, 2019.</t>
  </si>
  <si>
    <r>
      <t xml:space="preserve">Oliveira, G.M.; Santos, M.C.F.; Pontes, A.C.P. 1990. </t>
    </r>
    <r>
      <rPr>
        <i/>
        <sz val="12"/>
        <color theme="1"/>
        <rFont val="Times New Roman"/>
        <family val="1"/>
      </rPr>
      <t>Análise preliminar do recrutamento das populações de camarão (Xiphopenaeus kroyeri, Penaeus subtilis e Penaeus schmitti) na foz do Rio São Francisco e litoral sul de Pernambuco</t>
    </r>
    <r>
      <rPr>
        <sz val="12"/>
        <color theme="1"/>
        <rFont val="Times New Roman"/>
        <family val="1"/>
      </rPr>
      <t>. Tamandaré: IBAMA, Brazil.</t>
    </r>
  </si>
  <si>
    <t>Pauly, D.; Christensen, V.; Guénette, S.; et al. 2002. Towards sustainability in world fisheries. Nature, 418: 689–695. https://doi.org/10.1038/nature01017.</t>
  </si>
  <si>
    <t>Pavanelli, C.A.M.; Mossolin, E.C.; Mantelatto, F.L. 2010. Maternal investment in egg production: environmental and population-specific effects on offspring performance in the snapping shrimp Alpheus nuttingi (Schmitt, 1924) (Decapoda, Alpheidae). Animal Biology, 60: 237–247. https://doi.org/10.1163/157075610X516466.</t>
  </si>
  <si>
    <t>Peixoto, S.; Calazans, N.; Silva, E.F.; Nolé, L.; Soares, R.; Fredóu, F.L. 2018. Reproductive cycle and size at first sexual maturity of the white shrimp Penaeus schmitti (Burkenroad, 1936) in northeastern Brazil. Latin American Journal of Aquatic Research, 46(1): 1–9. https://doi.org/10.3856/vol46-issue1-fulltext-1.</t>
  </si>
  <si>
    <t>Peixoto, S.; Cavalli, R.O.; Wasielesky, W. 2005. Recent developments on broodstock maturation and reproduction of Farfantepenaeus paulensis. Brazilian Archives of Biology and Technology, 48(6): 997–1006. https://doi.org/10.1590/S1516-89132005000800016.</t>
  </si>
  <si>
    <r>
      <t xml:space="preserve">Pérez-Farfante, I. 1969. Western Atlantic shrimps of the genus </t>
    </r>
    <r>
      <rPr>
        <i/>
        <sz val="12"/>
        <color theme="1"/>
        <rFont val="Times New Roman"/>
        <family val="1"/>
      </rPr>
      <t>Penaeus</t>
    </r>
    <r>
      <rPr>
        <sz val="12"/>
        <color theme="1"/>
        <rFont val="Times New Roman"/>
        <family val="1"/>
      </rPr>
      <t xml:space="preserve">. </t>
    </r>
    <r>
      <rPr>
        <i/>
        <sz val="12"/>
        <color theme="1"/>
        <rFont val="Times New Roman"/>
        <family val="1"/>
      </rPr>
      <t>Fishery Bulletin</t>
    </r>
    <r>
      <rPr>
        <sz val="12"/>
        <color theme="1"/>
        <rFont val="Times New Roman"/>
        <family val="1"/>
      </rPr>
      <t>, 67: 461–590.</t>
    </r>
  </si>
  <si>
    <r>
      <t xml:space="preserve">Pérez-Farfante, I. 1978. </t>
    </r>
    <r>
      <rPr>
        <i/>
        <sz val="12"/>
        <color theme="1"/>
        <rFont val="Times New Roman"/>
        <family val="1"/>
      </rPr>
      <t>Species identification sheets for fishery purposes</t>
    </r>
    <r>
      <rPr>
        <sz val="12"/>
        <color theme="1"/>
        <rFont val="Times New Roman"/>
        <family val="1"/>
      </rPr>
      <t>. Food and Agriculture Organization (FAO), Rome.</t>
    </r>
  </si>
  <si>
    <r>
      <t xml:space="preserve">Pérez-Farfante, I.; Kensley, B. 1997. </t>
    </r>
    <r>
      <rPr>
        <i/>
        <sz val="12"/>
        <color theme="1"/>
        <rFont val="Times New Roman"/>
        <family val="1"/>
      </rPr>
      <t>Penaeoid and Sergestoid shrimps and prawns of the world</t>
    </r>
    <r>
      <rPr>
        <sz val="12"/>
        <color theme="1"/>
        <rFont val="Times New Roman"/>
        <family val="1"/>
      </rPr>
      <t xml:space="preserve">. </t>
    </r>
    <r>
      <rPr>
        <i/>
        <sz val="12"/>
        <color theme="1"/>
        <rFont val="Times New Roman"/>
        <family val="1"/>
      </rPr>
      <t>Mémoires du Muséum National d’Histoire Naturelle</t>
    </r>
    <r>
      <rPr>
        <sz val="12"/>
        <color theme="1"/>
        <rFont val="Times New Roman"/>
        <family val="1"/>
      </rPr>
      <t>, 175: 1–233.</t>
    </r>
  </si>
  <si>
    <t>Perroca, J.F.; Miazaki, L.F.; Fransozo, A.; Freire, F.A.M.; Costa, R.C. 2022. Growth, longevity and mortality of pink shrimps Farfantepenaeus brasiliensis and F. paulensis in southeastern Brazil. Marine Fisheries Science, 35: 211–226. https://doi.org/10.47193/mafis.3522022010503.</t>
  </si>
  <si>
    <t>Pescinelli, R.A.; Davanso, T.M.; Costa, R.C. 2017. Social monogamy and egg production in the snapping shrimp Alpheus brasileiro (Caridea: Alpheidae) from the southeastern coast of Brazil. Journal of the Marine Biological Association of the United Kingdom, 97: 1519–1526. https://doi.org/10.1017/S0025315416000904.</t>
  </si>
  <si>
    <t>Pickens, B.A.; Carroll, R.; Taylor, J.C. 2021. Predicting the distribution of penaeid shrimp reveals linkages between estuarine and offshore marine habitats. Estuaries and Coasts, 44: 2265–2278. https://doi.org/10.1007/s12237-021-00924-3.</t>
  </si>
  <si>
    <t>Pikitch, E. 2011. Use of a mixed-species yield-per-recruit model to explore the consequences of various management policies for the Oregon flatfish fishery. Canadian Journal of Fisheries and Aquatic Sciences, 44. https://doi.org/10.1139/f87-336.</t>
  </si>
  <si>
    <t>Porto, H.L.R.; Santos, A.B. 1996. Contribuição ao conhecimento da ecologia e biologia do camarão vermelho, Penaeus (Farfantepenaeus) subtilis Pérez-Farfante, 1967 na ilha de São Luís, estado do Maranhão, Brasil. Boletim do Laboratório de Hidrobiologia, 9: 55–71. https://doi.org/10.18764/.</t>
  </si>
  <si>
    <t>R Core Team. 2022. R: A Language and Environment for Statistical Computing, version 4.2.0. R Foundation for Statistical Computing, Vienna, Austria. Available at: https://www.R-project.org/. Accessed on: 20 Jan. 2023.</t>
  </si>
  <si>
    <t>Reis-Júnior, J.; Freire, K.; Rosa, L.; Barreto, T.; Pauly, D. 2019. Population dynamics of Atlantic seabob Xiphopenaeus kroyeri (Decapoda: Penaeidae) off the state of Sergipe, northeastern Brazil. Journal of the Marine Biological Association of the United Kingdom, 99: 143–153. https://doi.org/10.1017/S0025315417001916.</t>
  </si>
  <si>
    <t>Reis-Júnior, J.; Dias, A.A.S.; Rosa, L.C.; et al. 2023. Assessing the population structure of the southern brown shrimp Farfantepenaeus subtilis (Pérez-Farfante 1967) using different sampling methods. Thalassas, 39: 77–91. https://doi.org/10.1007/s41208-022-00494-6.</t>
  </si>
  <si>
    <r>
      <t xml:space="preserve">Rezende, G.A.; Neunfeld, A.L.; Estima, S.C.; Dumont, L.F.C. 2015. Size structure of the pink shrimp </t>
    </r>
    <r>
      <rPr>
        <i/>
        <sz val="12"/>
        <color theme="1"/>
        <rFont val="Times New Roman"/>
        <family val="1"/>
      </rPr>
      <t>Farfantepenaeus paulensis</t>
    </r>
    <r>
      <rPr>
        <sz val="12"/>
        <color theme="1"/>
        <rFont val="Times New Roman"/>
        <family val="1"/>
      </rPr>
      <t xml:space="preserve"> (Pérez-Farfante, 1967) (Decapoda: Penaeoidea) in a subtropical estuary: an assessment motivated by demand from fishermen. </t>
    </r>
    <r>
      <rPr>
        <i/>
        <sz val="12"/>
        <color theme="1"/>
        <rFont val="Times New Roman"/>
        <family val="1"/>
      </rPr>
      <t>Pan-American Journal of Aquatic Sciences</t>
    </r>
    <r>
      <rPr>
        <sz val="12"/>
        <color theme="1"/>
        <rFont val="Times New Roman"/>
        <family val="1"/>
      </rPr>
      <t>, 10: 105–115.</t>
    </r>
  </si>
  <si>
    <r>
      <t xml:space="preserve">Ricker, W.E. 1975. </t>
    </r>
    <r>
      <rPr>
        <i/>
        <sz val="12"/>
        <color theme="1"/>
        <rFont val="Times New Roman"/>
        <family val="1"/>
      </rPr>
      <t>Computation and interpretation of biological statistics of fish populations</t>
    </r>
    <r>
      <rPr>
        <sz val="12"/>
        <color theme="1"/>
        <rFont val="Times New Roman"/>
        <family val="1"/>
      </rPr>
      <t>. Fisheries Research Board of Canada, Ottawa, Canada.</t>
    </r>
  </si>
  <si>
    <t>Rodrigues, L.F.; Boss, H.; Branco, J.O. 2015. Biologia e pesca do camarão sete-barbas (Xiphopenaeus kroyeri, Heller 1862) no Balneário Barra do Sul, SC. Revista CEPSUL-Biologia e Comunicação Marinha, 4(1): 46–57. https://doi.org/10.37002/revistacepsul.vol4.55746-57.</t>
  </si>
  <si>
    <t>Rosa, L.C. da; Reis-Júnior, J.; Freire, K.M.F.; Barreto, T.M.R. da R. 2021. Biometric relationships and sex ratio for red-spotted shrimp Farfantepenaeus brasiliensis (Latreille, 1817) (Decapoda, Penaeidae) from the coast of Sergipe, northeastern Brazil. Nauplius, 29: e2021002. https://doi.org/10.1590/2358-2936e2021002.</t>
  </si>
  <si>
    <t>Rudd, M.B.; Thorson, J.T. 2018. Accounting for variable recruitment and fishing mortality in length-based stock assessments for data-limited fisheries. Canadian Journal of Fisheries and Aquatic Sciences, 75(7): 1019–1035. https://doi.org/10.1139/cjfas-2017-0143.</t>
  </si>
  <si>
    <r>
      <t xml:space="preserve">Sahm, B.D.B.; Santos, J.L.; Rodrigues, E.V. 2011. Camarão-sete-barbas </t>
    </r>
    <r>
      <rPr>
        <i/>
        <sz val="12"/>
        <color theme="1"/>
        <rFont val="Times New Roman"/>
        <family val="1"/>
      </rPr>
      <t>Xiphopenaeus kroyeri</t>
    </r>
    <r>
      <rPr>
        <sz val="12"/>
        <color theme="1"/>
        <rFont val="Times New Roman"/>
        <family val="1"/>
      </rPr>
      <t xml:space="preserve"> (Heller, 1862) capturado pela pesca de pequeno porte na praia do Perequê-SP. </t>
    </r>
    <r>
      <rPr>
        <i/>
        <sz val="12"/>
        <color theme="1"/>
        <rFont val="Times New Roman"/>
        <family val="1"/>
      </rPr>
      <t>Revista CEC</t>
    </r>
    <r>
      <rPr>
        <sz val="12"/>
        <color theme="1"/>
        <rFont val="Times New Roman"/>
        <family val="1"/>
      </rPr>
      <t>, 3: 29–36.</t>
    </r>
  </si>
  <si>
    <r>
      <t xml:space="preserve">Salvati, D.S. 2017. </t>
    </r>
    <r>
      <rPr>
        <i/>
        <sz val="12"/>
        <color theme="1"/>
        <rFont val="Times New Roman"/>
        <family val="1"/>
      </rPr>
      <t>Distribuição e dinâmica populacional de juvenis dos camarões-rosa Farfantepenaeus brasiliensis (Latreille, 1817) e F. paulensis (Pérez-Farfante, 1967) na região de Cananeia, extremo Sul do Estado de São Paulo</t>
    </r>
    <r>
      <rPr>
        <sz val="12"/>
        <color theme="1"/>
        <rFont val="Times New Roman"/>
        <family val="1"/>
      </rPr>
      <t>. PhD thesis. Universidade Estadual Paulista, São Paulo</t>
    </r>
  </si>
  <si>
    <t>Salvati, D.S. da S.; Perroca, J.F.; Simões, S.M.; Castilho, A.L.; Costa, R.C. da. 2021. Variation in size distribution of juvenile pink shrimps Farfantepenaeus brasiliensis and F. paulensis in the estuarine-adjacent ocean area of Cananéia, southeastern coast of Brazil. Journal of the Marine Biological Association of the United Kingdom, 101(1): 117–129. https://doi.org/10.1017/S0025315420001393.</t>
  </si>
  <si>
    <r>
      <t xml:space="preserve">Santos, M.C.F. 2010. Informações biológicas e pesqueiras sobre o camarão branco </t>
    </r>
    <r>
      <rPr>
        <i/>
        <sz val="12"/>
        <color theme="1"/>
        <rFont val="Times New Roman"/>
        <family val="1"/>
      </rPr>
      <t>Litopenaeus schmitti</t>
    </r>
    <r>
      <rPr>
        <sz val="12"/>
        <color theme="1"/>
        <rFont val="Times New Roman"/>
        <family val="1"/>
      </rPr>
      <t xml:space="preserve"> (Burkenroad, 1936) e o camarão rosa </t>
    </r>
    <r>
      <rPr>
        <i/>
        <sz val="12"/>
        <color theme="1"/>
        <rFont val="Times New Roman"/>
        <family val="1"/>
      </rPr>
      <t>Farfantepenaeus subtilis</t>
    </r>
    <r>
      <rPr>
        <sz val="12"/>
        <color theme="1"/>
        <rFont val="Times New Roman"/>
        <family val="1"/>
      </rPr>
      <t xml:space="preserve"> (Pérez-Farfante, 1967) capturados no município de Coruripe (Alagoas-Brasil). </t>
    </r>
    <r>
      <rPr>
        <i/>
        <sz val="12"/>
        <color theme="1"/>
        <rFont val="Times New Roman"/>
        <family val="1"/>
      </rPr>
      <t>Boletim do Instituto de Pesca</t>
    </r>
    <r>
      <rPr>
        <sz val="12"/>
        <color theme="1"/>
        <rFont val="Times New Roman"/>
        <family val="1"/>
      </rPr>
      <t>, 18: 17–29.</t>
    </r>
  </si>
  <si>
    <r>
      <t xml:space="preserve">Santos, A.P.F. 2014. </t>
    </r>
    <r>
      <rPr>
        <i/>
        <sz val="12"/>
        <color theme="1"/>
        <rFont val="Times New Roman"/>
        <family val="1"/>
      </rPr>
      <t>Dinâmica populacional do camarão sete-barbas Xiphopenaeus kroyeri (Heller, 1862) (Decapoda: Penaeidae) na região costeira de Cananéia, extremo sul do estado de São Paulo: Subsídios científicos para adequação do período de defeso</t>
    </r>
    <r>
      <rPr>
        <sz val="12"/>
        <color theme="1"/>
        <rFont val="Times New Roman"/>
        <family val="1"/>
      </rPr>
      <t>. PhD thesis. Universidade Estadual Paulista, São Paulo.</t>
    </r>
  </si>
  <si>
    <r>
      <t xml:space="preserve">Santos, E.P.; Neiva, G.S.; Schaeffer, Y. 1969. Dinâmica da população do camarão-sete-barbas, </t>
    </r>
    <r>
      <rPr>
        <i/>
        <sz val="12"/>
        <color theme="1"/>
        <rFont val="Times New Roman"/>
        <family val="1"/>
      </rPr>
      <t>Xiphopenaeus kroyeri</t>
    </r>
    <r>
      <rPr>
        <sz val="12"/>
        <color theme="1"/>
        <rFont val="Times New Roman"/>
        <family val="1"/>
      </rPr>
      <t xml:space="preserve"> (Heller) na Baía de Santos. </t>
    </r>
    <r>
      <rPr>
        <i/>
        <sz val="12"/>
        <color theme="1"/>
        <rFont val="Times New Roman"/>
        <family val="1"/>
      </rPr>
      <t>Pesca e Pesquisa</t>
    </r>
    <r>
      <rPr>
        <sz val="12"/>
        <color theme="1"/>
        <rFont val="Times New Roman"/>
        <family val="1"/>
      </rPr>
      <t>, 2(2): 41–55.</t>
    </r>
  </si>
  <si>
    <r>
      <t xml:space="preserve">Santos, J.L. 2007. </t>
    </r>
    <r>
      <rPr>
        <i/>
        <sz val="12"/>
        <color theme="1"/>
        <rFont val="Times New Roman"/>
        <family val="1"/>
      </rPr>
      <t>Pesca e estrutura populacional do camarão-branco Litopenaeus schmitti (Burkenroad, 1936) na região marinha e estuarina da Baixada Santista, São Paulo, Brasil</t>
    </r>
    <r>
      <rPr>
        <sz val="12"/>
        <color theme="1"/>
        <rFont val="Times New Roman"/>
        <family val="1"/>
      </rPr>
      <t>. PhD thesis. Instituto de Pesca, São Paulo.</t>
    </r>
  </si>
  <si>
    <r>
      <t xml:space="preserve">Santos, J.L.; Rodrigues, E.S.; Santos, A.M.V. 2008. Estrutura populacional do camarão-branco </t>
    </r>
    <r>
      <rPr>
        <i/>
        <sz val="12"/>
        <color theme="1"/>
        <rFont val="Times New Roman"/>
        <family val="1"/>
      </rPr>
      <t>Litopenaeus schmitti</t>
    </r>
    <r>
      <rPr>
        <sz val="12"/>
        <color theme="1"/>
        <rFont val="Times New Roman"/>
        <family val="1"/>
      </rPr>
      <t xml:space="preserve"> nas regiões estuarina e marinha da Baixada Santista, São Paulo, Brasil. </t>
    </r>
    <r>
      <rPr>
        <i/>
        <sz val="12"/>
        <color theme="1"/>
        <rFont val="Times New Roman"/>
        <family val="1"/>
      </rPr>
      <t>Boletim do Instituto de Pesca</t>
    </r>
    <r>
      <rPr>
        <sz val="12"/>
        <color theme="1"/>
        <rFont val="Times New Roman"/>
        <family val="1"/>
      </rPr>
      <t>, 34: 375–389.</t>
    </r>
  </si>
  <si>
    <r>
      <t xml:space="preserve">Santos, M.C.F. 2000. Biologia e pesca de camarões marinhos ao largo de Maragogi (Alagoas-Brasil). </t>
    </r>
    <r>
      <rPr>
        <i/>
        <sz val="12"/>
        <color theme="1"/>
        <rFont val="Times New Roman"/>
        <family val="1"/>
      </rPr>
      <t>Boletim Técnico Científico CEP</t>
    </r>
    <r>
      <rPr>
        <sz val="12"/>
        <color theme="1"/>
        <rFont val="Times New Roman"/>
        <family val="1"/>
      </rPr>
      <t>, 8(1): 99–129.</t>
    </r>
  </si>
  <si>
    <r>
      <t xml:space="preserve">Santos, M.C.F. 1997. </t>
    </r>
    <r>
      <rPr>
        <i/>
        <sz val="12"/>
        <color theme="1"/>
        <rFont val="Times New Roman"/>
        <family val="1"/>
      </rPr>
      <t>O camarão sete-barbas Xiphopenaeus kroyeri (Heller, 1862) (Crustacea, Decapoda, Penaeidae) no Nordeste do Brasil</t>
    </r>
    <r>
      <rPr>
        <sz val="12"/>
        <color theme="1"/>
        <rFont val="Times New Roman"/>
        <family val="1"/>
      </rPr>
      <t>. PhD thesis. Universidade Federal de Pernambuco, Brazil.</t>
    </r>
  </si>
  <si>
    <r>
      <t xml:space="preserve">Santos, M.C.F. 2002. </t>
    </r>
    <r>
      <rPr>
        <i/>
        <sz val="12"/>
        <color theme="1"/>
        <rFont val="Times New Roman"/>
        <family val="1"/>
      </rPr>
      <t>Biologia populacional e manejo da pesca do camarão branco Litopenaeus schmitti (Burkenroad, 1936) (Crustacea: Decapoda: Penaeidae) no Nordeste oriental do Brasil</t>
    </r>
    <r>
      <rPr>
        <sz val="12"/>
        <color theme="1"/>
        <rFont val="Times New Roman"/>
        <family val="1"/>
      </rPr>
      <t>. PhD thesis. Universidade Federal de Pernambuco, Recife.</t>
    </r>
  </si>
  <si>
    <r>
      <t xml:space="preserve">Santos, M.C.F.; Freitas, A.E.T.S. 2004a. Estrutura populacional e pesca do camarão-branco </t>
    </r>
    <r>
      <rPr>
        <i/>
        <sz val="12"/>
        <color theme="1"/>
        <rFont val="Times New Roman"/>
        <family val="1"/>
      </rPr>
      <t>Penaeus schmitti</t>
    </r>
    <r>
      <rPr>
        <sz val="12"/>
        <color theme="1"/>
        <rFont val="Times New Roman"/>
        <family val="1"/>
      </rPr>
      <t xml:space="preserve"> Burkenroad (Crustacea, Decapoda, Penaeidea) na Lagoa Papari, Município de Nísia Floresta (Rio Grande do Norte – Brasil). </t>
    </r>
    <r>
      <rPr>
        <i/>
        <sz val="12"/>
        <color theme="1"/>
        <rFont val="Times New Roman"/>
        <family val="1"/>
      </rPr>
      <t>Boletim Técnico Científico CEP</t>
    </r>
    <r>
      <rPr>
        <sz val="12"/>
        <color theme="1"/>
        <rFont val="Times New Roman"/>
        <family val="1"/>
      </rPr>
      <t>, 12(1): 23–42.</t>
    </r>
  </si>
  <si>
    <r>
      <t xml:space="preserve">Santos, M.C.F.; Freitas, A.E.T.S. 2006. Caracterização biológica e pesqueira do camarão sete-barbas </t>
    </r>
    <r>
      <rPr>
        <i/>
        <sz val="12"/>
        <color theme="1"/>
        <rFont val="Times New Roman"/>
        <family val="1"/>
      </rPr>
      <t>Xiphopenaeus kroyeri</t>
    </r>
    <r>
      <rPr>
        <sz val="12"/>
        <color theme="1"/>
        <rFont val="Times New Roman"/>
        <family val="1"/>
      </rPr>
      <t xml:space="preserve"> (Heller, 1862) (Crustacea, Decapoda, Penaeidae), no pesqueiro Laminha, área de proteção ambiental de Piaçabuçu (Alagoas-Brasil). </t>
    </r>
    <r>
      <rPr>
        <i/>
        <sz val="12"/>
        <color theme="1"/>
        <rFont val="Times New Roman"/>
        <family val="1"/>
      </rPr>
      <t>Boletim Técnico Científico CEP</t>
    </r>
    <r>
      <rPr>
        <sz val="12"/>
        <color theme="1"/>
        <rFont val="Times New Roman"/>
        <family val="1"/>
      </rPr>
      <t>, 14(1): 71–91.</t>
    </r>
  </si>
  <si>
    <r>
      <t xml:space="preserve">Santos, M.C.F.; Silva, C.G.M. 2008. Aspectos biológicos do camarão sete-barbas </t>
    </r>
    <r>
      <rPr>
        <i/>
        <sz val="12"/>
        <color theme="1"/>
        <rFont val="Times New Roman"/>
        <family val="1"/>
      </rPr>
      <t>Xiphopenaeus kroyeri</t>
    </r>
    <r>
      <rPr>
        <sz val="12"/>
        <color theme="1"/>
        <rFont val="Times New Roman"/>
        <family val="1"/>
      </rPr>
      <t xml:space="preserve"> (Heller, 1862) (Crustacea, Decapoda, Penaeidae), no município de Caravelas (Bahia-Brasil). </t>
    </r>
    <r>
      <rPr>
        <i/>
        <sz val="12"/>
        <color theme="1"/>
        <rFont val="Times New Roman"/>
        <family val="1"/>
      </rPr>
      <t>Boletim Técnico Científico CEP</t>
    </r>
    <r>
      <rPr>
        <sz val="12"/>
        <color theme="1"/>
        <rFont val="Times New Roman"/>
        <family val="1"/>
      </rPr>
      <t>, 16(1): 85–97.</t>
    </r>
  </si>
  <si>
    <r>
      <t xml:space="preserve">Santos, M.C.F.; Pereira, J.A.; Ivo, C.T.C. 2000. Pesca, biologia e dinâmica populacional do camarão sete-barbas </t>
    </r>
    <r>
      <rPr>
        <i/>
        <sz val="12"/>
        <color theme="1"/>
        <rFont val="Times New Roman"/>
        <family val="1"/>
      </rPr>
      <t>Xiphopenaeus kroyeri</t>
    </r>
    <r>
      <rPr>
        <sz val="12"/>
        <color theme="1"/>
        <rFont val="Times New Roman"/>
        <family val="1"/>
      </rPr>
      <t xml:space="preserve"> (Heller, 1862) (Crustacea: Decapoda: Penaeidae), capturado em frente ao município de Caravelas (Bahia-Brasil). </t>
    </r>
    <r>
      <rPr>
        <i/>
        <sz val="12"/>
        <color theme="1"/>
        <rFont val="Times New Roman"/>
        <family val="1"/>
      </rPr>
      <t>Boletim Técnico Científico CEP</t>
    </r>
    <r>
      <rPr>
        <sz val="12"/>
        <color theme="1"/>
        <rFont val="Times New Roman"/>
        <family val="1"/>
      </rPr>
      <t>, 8(1): 131–164.</t>
    </r>
  </si>
  <si>
    <r>
      <t xml:space="preserve">Santos, M.C.F.; Pereira, J.A.; Ivo, C.T.C. 2004b. Sinopse sobre informações sobre a biologia e pesca do camarão-branco </t>
    </r>
    <r>
      <rPr>
        <i/>
        <sz val="12"/>
        <color theme="1"/>
        <rFont val="Times New Roman"/>
        <family val="1"/>
      </rPr>
      <t>Litopenaeus schmitti</t>
    </r>
    <r>
      <rPr>
        <sz val="12"/>
        <color theme="1"/>
        <rFont val="Times New Roman"/>
        <family val="1"/>
      </rPr>
      <t xml:space="preserve"> (Burkenroad, 1936) (Crustacea, Decapoda), no nordeste do Brasil. </t>
    </r>
    <r>
      <rPr>
        <i/>
        <sz val="12"/>
        <color theme="1"/>
        <rFont val="Times New Roman"/>
        <family val="1"/>
      </rPr>
      <t>Boletim Técnico Científico CEP</t>
    </r>
    <r>
      <rPr>
        <sz val="12"/>
        <color theme="1"/>
        <rFont val="Times New Roman"/>
        <family val="1"/>
      </rPr>
      <t>, 12(1): 149–185.</t>
    </r>
  </si>
  <si>
    <r>
      <t xml:space="preserve">Santos, M.C.F.; Pereira, J.A.; Ivo, C.T. 2006. Crescimento do camarão branco, </t>
    </r>
    <r>
      <rPr>
        <i/>
        <sz val="12"/>
        <color theme="1"/>
        <rFont val="Times New Roman"/>
        <family val="1"/>
      </rPr>
      <t>Litopenaeus schmitti</t>
    </r>
    <r>
      <rPr>
        <sz val="12"/>
        <color theme="1"/>
        <rFont val="Times New Roman"/>
        <family val="1"/>
      </rPr>
      <t xml:space="preserve"> (Burkenroad, 1936) (Crustacea, Decapoda, Penaeidae), no nordeste do Brasil. </t>
    </r>
    <r>
      <rPr>
        <i/>
        <sz val="12"/>
        <color theme="1"/>
        <rFont val="Times New Roman"/>
        <family val="1"/>
      </rPr>
      <t>Boletim Técnico Científico CEP</t>
    </r>
    <r>
      <rPr>
        <sz val="12"/>
        <color theme="1"/>
        <rFont val="Times New Roman"/>
        <family val="1"/>
      </rPr>
      <t>, 14(1): 59–70.</t>
    </r>
  </si>
  <si>
    <t>Santos, R.C.; Perroca, J.F.; Costa, R.C.; Hirose, L.G. 2020. Population dynamics of Farfantepenaeus subtilis (Pérez-Farfante, 1967) and Litopenaeus schmitti (Burkenroad, 1936) (Decapoda: Penaeidae) and evidence of habitat partitioning in the northeast of Brazil. Regional Studies in Marine Science, 35: 101218. https://doi.org/10.1016/j.rsma.2020.101218.</t>
  </si>
  <si>
    <t>Secor, D. 2015. Migration Ecology of Marine Fishes. Johns Hopkins University, Baltimore, United States. https://doi.org/10.1353/book.39942.</t>
  </si>
  <si>
    <t>Silva, C.N.S.; Broadhurst, M.K.; Medeiros, R.P.; Dias, J.H. 2013. Resolving environmental issues in the southern Brazilian artisanal penaeid-trawl fishery through adaptive co-management. Marine Policy, 42: 133–141. https://doi.org/10.1016/j.marpol.2013.02.002.</t>
  </si>
  <si>
    <t>Silva, E.F.; Calazans, N.; Nolé, L.; Soares, R.; Frédou, F.L.; Peixoto, S. 2019. Population dynamics of the white shrimp Litopenaeus schmitti (Burkenroad, 1936) on the southern coast of Pernambuco, north-eastern Brazil. Journal of the Marine Biological Association of the United Kingdom, 99(2): 429–435. https://doi.org/10.1017/S0025315418000322.</t>
  </si>
  <si>
    <t>Silva, E.F.; Calazans, N.; Nolé, L.; Branco, T.C.; Soares, R.; Guerra, M.M.P.; Frédou, F.L.; Peixoto, S. 2016. Reproductive dynamics of the southern pink shrimp Farfantepenaeus subtilis in northeastern Brazil. Aquatic Biology, 25: 29–35. https://doi.org/10.3354/ab00653.</t>
  </si>
  <si>
    <t>Silva, E.F.; Calazans, N.; Nolé, L.; Viana, A.; Soares, R.; Peixoto, S.; Frédou, F.L. 2015. Population dynamics of the pink shrimp Farfantepenaeus subtilis (Pérez-Farfante, 1967) in Northeastern Brazil. Journal of Crustacean Biology, 35(2): 132–139. https://doi.org/10.1163/1937240X-00002325.</t>
  </si>
  <si>
    <r>
      <t xml:space="preserve">Sparre, P.; Venema, S.C. 1998. </t>
    </r>
    <r>
      <rPr>
        <i/>
        <sz val="12"/>
        <color theme="1"/>
        <rFont val="Times New Roman"/>
        <family val="1"/>
      </rPr>
      <t>Introduction to Tropical Fish Stock Assessment, Part I: Manual</t>
    </r>
    <r>
      <rPr>
        <sz val="12"/>
        <color theme="1"/>
        <rFont val="Times New Roman"/>
        <family val="1"/>
      </rPr>
      <t>. FAO Fisheries Technical Paper, 1. FAO, Rome. 306 p.</t>
    </r>
  </si>
  <si>
    <r>
      <t xml:space="preserve">SUDEPE. 1983. </t>
    </r>
    <r>
      <rPr>
        <i/>
        <sz val="12"/>
        <color theme="1"/>
        <rFont val="Times New Roman"/>
        <family val="1"/>
      </rPr>
      <t>Relatório da quarta reunião do Grupo Permanente de Estudos (GPE) sobre camarões</t>
    </r>
    <r>
      <rPr>
        <sz val="12"/>
        <color theme="1"/>
        <rFont val="Times New Roman"/>
        <family val="1"/>
      </rPr>
      <t>. Superintendência do Desenvolvimento da Pesca e Programa de Pesquisa, Santos, São Paulo.</t>
    </r>
  </si>
  <si>
    <r>
      <t xml:space="preserve">SUDEPE-PDP. 1987. </t>
    </r>
    <r>
      <rPr>
        <i/>
        <sz val="12"/>
        <color theme="1"/>
        <rFont val="Times New Roman"/>
        <family val="1"/>
      </rPr>
      <t>Relatório da VII reunião do Grupo Permanente de Estudos e camarões da região Sudeste/Sul</t>
    </r>
    <r>
      <rPr>
        <sz val="12"/>
        <color theme="1"/>
        <rFont val="Times New Roman"/>
        <family val="1"/>
      </rPr>
      <t>. Superintendência do Desenvolvimento da Pesca e Programa de Pesquisa, Florianópolis, Santa Catarina.</t>
    </r>
  </si>
  <si>
    <r>
      <t xml:space="preserve">Tavares, C.E.; Martin, J.W. 2010. </t>
    </r>
    <r>
      <rPr>
        <i/>
        <sz val="12"/>
        <color theme="1"/>
        <rFont val="Times New Roman"/>
        <family val="1"/>
      </rPr>
      <t>Suborder Dendrobranchiata Spence Bate, 1881</t>
    </r>
    <r>
      <rPr>
        <sz val="12"/>
        <color theme="1"/>
        <rFont val="Times New Roman"/>
        <family val="1"/>
      </rPr>
      <t>. Crustacea, 9: 99–164.</t>
    </r>
  </si>
  <si>
    <t>Temming, A.; Hufnagl, M. 2015. Decreasing predation levels and increasing landings challenge the paradigm of non-management of North Sea brown shrimp (Crangon crangon). ICES Journal of Marine Science, 72: 804–823. https://doi.org/10.1093/icesjms/fsu194.</t>
  </si>
  <si>
    <t>Teodoro, S.S.A.; Terossi, M.; Costa, R.C.; Mantelatto, F.L. 2015. Genetic homogeneity in the commercial pink shrimp Farfantepenaeus paulensis revealed by COI barcoding gene. Estuarine, Coastal and Shelf Science, 166: 124–130. https://doi.org/10.1016/j.ecss.2015.07.009.</t>
  </si>
  <si>
    <t>United Nations Convention on the Law of the Sea (UNCLOS). (1982). 1833 UNTS 3. Available at: http://www.un.org/Depts/los/convention_agreements/texts/unclos/unclos_e.pdf. Accessed on: December 20, 2018.</t>
  </si>
  <si>
    <r>
      <t>Valentini, H., D’Incao, F., Rodrigues, L.F., Rebelo Neto, J.E., &amp; Rahn, E. 1991. Análise da pesca do camarão-rosa (</t>
    </r>
    <r>
      <rPr>
        <i/>
        <sz val="12"/>
        <color theme="1"/>
        <rFont val="Times New Roman"/>
        <family val="1"/>
      </rPr>
      <t>Penaeus brasiliensis</t>
    </r>
    <r>
      <rPr>
        <sz val="12"/>
        <color theme="1"/>
        <rFont val="Times New Roman"/>
        <family val="1"/>
      </rPr>
      <t xml:space="preserve"> e </t>
    </r>
    <r>
      <rPr>
        <i/>
        <sz val="12"/>
        <color theme="1"/>
        <rFont val="Times New Roman"/>
        <family val="1"/>
      </rPr>
      <t>Penaeus paulensis</t>
    </r>
    <r>
      <rPr>
        <sz val="12"/>
        <color theme="1"/>
        <rFont val="Times New Roman"/>
        <family val="1"/>
      </rPr>
      <t xml:space="preserve">) nas regiões Sudeste e Sul do Brasil. </t>
    </r>
    <r>
      <rPr>
        <i/>
        <sz val="12"/>
        <color theme="1"/>
        <rFont val="Times New Roman"/>
        <family val="1"/>
      </rPr>
      <t>Atlântica</t>
    </r>
    <r>
      <rPr>
        <sz val="12"/>
        <color theme="1"/>
        <rFont val="Times New Roman"/>
        <family val="1"/>
      </rPr>
      <t>, 13(1), 143–157.</t>
    </r>
  </si>
  <si>
    <r>
      <t xml:space="preserve">Vasconcellos, M., Diegues, A.C., &amp; Salles, R.R. 2007. Limites e possibilidades na gestão da pesca artesanal costeira. In: Costa, A.L. (ed.). </t>
    </r>
    <r>
      <rPr>
        <i/>
        <sz val="12"/>
        <color theme="1"/>
        <rFont val="Times New Roman"/>
        <family val="1"/>
      </rPr>
      <t>Nas redes da Pesca Artesanal</t>
    </r>
    <r>
      <rPr>
        <sz val="12"/>
        <color theme="1"/>
        <rFont val="Times New Roman"/>
        <family val="1"/>
      </rPr>
      <t>. Brasília: PNUD/IBAMA, pp. 70–83.</t>
    </r>
  </si>
  <si>
    <r>
      <t xml:space="preserve">Vasconcellos, M., Diegues, A.C., &amp; Kalikoski, D.C. 2011. Coastal fisheries of Brazil. In: Salas, S., Chuenpagdee, R., Charles, A., &amp; Seijo, J.C. (eds.). </t>
    </r>
    <r>
      <rPr>
        <i/>
        <sz val="12"/>
        <color theme="1"/>
        <rFont val="Times New Roman"/>
        <family val="1"/>
      </rPr>
      <t>Coastal fisheries of Latin America and the Caribbean</t>
    </r>
    <r>
      <rPr>
        <sz val="12"/>
        <color theme="1"/>
        <rFont val="Times New Roman"/>
        <family val="1"/>
      </rPr>
      <t>. Rome: FAO Fish. Aqua. Tech. Paper, pp. 73–116.</t>
    </r>
  </si>
  <si>
    <r>
      <t>Costa, P. 1997. Crescimento e mortalidade de juvenis de camarão-rosa (</t>
    </r>
    <r>
      <rPr>
        <i/>
        <sz val="12"/>
        <color theme="1"/>
        <rFont val="Times New Roman"/>
        <family val="1"/>
      </rPr>
      <t>Penaeus brasiliensis</t>
    </r>
    <r>
      <rPr>
        <sz val="12"/>
        <color theme="1"/>
        <rFont val="Times New Roman"/>
        <family val="1"/>
      </rPr>
      <t xml:space="preserve"> Latreille, 1817) na Lagoa de Araruama-RJ. </t>
    </r>
    <r>
      <rPr>
        <i/>
        <sz val="12"/>
        <color theme="1"/>
        <rFont val="Times New Roman"/>
        <family val="1"/>
      </rPr>
      <t>Revista Brasileira de Biologia</t>
    </r>
    <r>
      <rPr>
        <sz val="12"/>
        <color theme="1"/>
        <rFont val="Times New Roman"/>
        <family val="1"/>
      </rPr>
      <t>, 57, 487–499.</t>
    </r>
  </si>
  <si>
    <t>Voloch, C.M., Solé-Cava, A.M. 2005. Genetic structure of the sea-bob shrimp (Xiphopenaeus kroyeri Heller, 1862; Decapoda, Penaeidae) along the Brazilian southeastern coast. Genetics and Molecular Biology, 28, 254–257. https://doi.org/10.1590/S1415-47572005000200014.</t>
  </si>
  <si>
    <t>Warahma, M., Nadiarti, N., Umar, M.T., Nafie, Y.A.L., Priosambodo, D., Suwarni, Parawansa, B.S. 2021. Population dynamics of mantis shrimp (Gonodactylus chiragra Fabricius, 1781) in Batukalasi waters, South Sulawesi, Indonesia. IOP Conference Series: Earth and Environmental Science, 763, 12038. https://doi.org/10.1088/1755-1315/763/1/012038.</t>
  </si>
  <si>
    <t>Watson, R.A., Cheung, W.W.L., Anticamara, J.A., Sumaila, R.U., Zeller, D., Pauly, D. 2013. Global marine yield halved as fishing intensity redoubles. Fish and Fisheries, 14, 493–503. https://doi.org/10.1111/j.1467-2979.2012.00483.x.</t>
  </si>
  <si>
    <t>Whitfield, A.K. 2017. The role of seagrass meadows, mangrove forests, salt marshes and reed beds as nursery areas and food sources for fishes in estuaries. Reviews in Fish Biology and Fisheries, 27, 75–110. https://doi.org/10.1007/s11160-016-9454-x.</t>
  </si>
  <si>
    <t>Zeller, D., Palomares, M.L.D., Tavakolie, A., Ang, M., Belhabib, D., Cheung, W.W.L., Lam, V.W.Y., Sy, E., Tsui, G., Zylich, K., &amp; Pauly, D. 2016. Still catching attention: Sea Around Us reconstructed global catch data, their spatial expression and public accessibility. Marine Policy, 70, 145–152. https://doi.org/10.1016/j.marpol.2016.04.046.</t>
  </si>
  <si>
    <r>
      <t xml:space="preserve">Zenger, J.R.H.H., &amp; Agnes, J.L. (1977). </t>
    </r>
    <r>
      <rPr>
        <i/>
        <sz val="12"/>
        <color theme="1"/>
        <rFont val="Times New Roman"/>
        <family val="1"/>
      </rPr>
      <t>Distribuição do camarão-rosa Penaeus brasiliensis e Penaeus paulensis ao longo da costa sudeste e sul do Brasil</t>
    </r>
    <r>
      <rPr>
        <sz val="12"/>
        <color theme="1"/>
        <rFont val="Times New Roman"/>
        <family val="1"/>
      </rPr>
      <t>. Série Documentos Técnicos, nº 21. Brasília, Brazil.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</si>
</sst>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b/>
      <sz val="12"/>
      <color theme="1"/>
      <name val="Times New Roman"/>
      <family val="1"/>
    </font>
    <font>
      <sz val="12"/>
      <color theme="1"/>
      <name val="Times New Roman"/>
      <family val="1"/>
    </font>
    <font>
      <i/>
      <sz val="12"/>
      <color theme="1"/>
      <name val="Times New Roman"/>
      <family val="1"/>
    </font>
    <font>
      <sz val="12"/>
      <color rgb="FF000000"/>
      <name val="Times New Roman"/>
      <family val="1"/>
    </font>
    <font>
      <i/>
      <sz val="12"/>
      <color rgb="FF000000"/>
      <name val="Times New Roman"/>
      <family val="1"/>
    </font>
    <font>
      <u/>
      <sz val="11"/>
      <color theme="1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1" fillId="0" borderId="0" applyNumberFormat="0" applyFill="0" applyBorder="0" applyAlignment="0" applyProtection="0"/>
  </cellStyleXfs>
  <cellXfs count="18">
    <xf numFmtId="0" fontId="0" fillId="0" borderId="0" xfId="0"/>
    <xf numFmtId="0" fontId="1" fillId="2" borderId="1" xfId="0" applyFont="1" applyFill="1" applyBorder="1"/>
    <xf numFmtId="0" fontId="0" fillId="0" borderId="0" xfId="0" applyAlignment="1">
      <alignment horizontal="right"/>
    </xf>
    <xf numFmtId="0" fontId="1" fillId="2" borderId="2" xfId="0" applyFont="1" applyFill="1" applyBorder="1"/>
    <xf numFmtId="0" fontId="3" fillId="0" borderId="0" xfId="0" applyFont="1"/>
    <xf numFmtId="0" fontId="4" fillId="2" borderId="1" xfId="0" applyFont="1" applyFill="1" applyBorder="1"/>
    <xf numFmtId="0" fontId="2" fillId="3" borderId="0" xfId="0" applyFont="1" applyFill="1"/>
    <xf numFmtId="0" fontId="2" fillId="4" borderId="0" xfId="0" applyFont="1" applyFill="1"/>
    <xf numFmtId="0" fontId="2" fillId="5" borderId="0" xfId="0" applyFont="1" applyFill="1"/>
    <xf numFmtId="0" fontId="1" fillId="2" borderId="3" xfId="0" applyFont="1" applyFill="1" applyBorder="1"/>
    <xf numFmtId="0" fontId="0" fillId="6" borderId="0" xfId="0" applyFill="1"/>
    <xf numFmtId="0" fontId="0" fillId="6" borderId="0" xfId="0" applyFill="1" applyAlignment="1">
      <alignment horizontal="right"/>
    </xf>
    <xf numFmtId="0" fontId="5" fillId="0" borderId="0" xfId="0" applyFont="1"/>
    <xf numFmtId="0" fontId="6" fillId="0" borderId="0" xfId="0" applyFont="1" applyAlignment="1">
      <alignment horizontal="justify" vertical="center"/>
    </xf>
    <xf numFmtId="0" fontId="7" fillId="0" borderId="0" xfId="0" applyFont="1" applyAlignment="1">
      <alignment horizontal="justify" vertical="center"/>
    </xf>
    <xf numFmtId="0" fontId="11" fillId="0" borderId="0" xfId="1" applyAlignment="1">
      <alignment horizontal="justify" vertical="center"/>
    </xf>
    <xf numFmtId="0" fontId="9" fillId="0" borderId="0" xfId="0" applyFont="1" applyAlignment="1">
      <alignment horizontal="justify" vertical="center"/>
    </xf>
    <xf numFmtId="0" fontId="7" fillId="0" borderId="0" xfId="0" applyFont="1" applyAlignment="1">
      <alignment vertical="center"/>
    </xf>
  </cellXfs>
  <cellStyles count="2">
    <cellStyle name="Hi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590/S1415-47572005000100029" TargetMode="External"/><Relationship Id="rId21" Type="http://schemas.openxmlformats.org/officeDocument/2006/relationships/hyperlink" Target="https://doi.org/10.1590/2358-2936e2023002" TargetMode="External"/><Relationship Id="rId42" Type="http://schemas.openxmlformats.org/officeDocument/2006/relationships/hyperlink" Target="https://doi.org/10.1163/157075610X516466" TargetMode="External"/><Relationship Id="rId47" Type="http://schemas.openxmlformats.org/officeDocument/2006/relationships/hyperlink" Target="https://doi.org/10.1007/s12237-021-00924-3" TargetMode="External"/><Relationship Id="rId63" Type="http://schemas.openxmlformats.org/officeDocument/2006/relationships/hyperlink" Target="https://doi.org/10.1093/icesjms/fsu194" TargetMode="External"/><Relationship Id="rId68" Type="http://schemas.openxmlformats.org/officeDocument/2006/relationships/hyperlink" Target="https://doi.org/10.1111/j.1467-2979.2012.00483.x" TargetMode="External"/><Relationship Id="rId7" Type="http://schemas.openxmlformats.org/officeDocument/2006/relationships/hyperlink" Target="https://doi.org/10.1007/978-94-011-2106-4" TargetMode="External"/><Relationship Id="rId71" Type="http://schemas.openxmlformats.org/officeDocument/2006/relationships/printerSettings" Target="../printerSettings/printerSettings2.bin"/><Relationship Id="rId2" Type="http://schemas.openxmlformats.org/officeDocument/2006/relationships/hyperlink" Target="https://doi.org/10.11606/T.18.2012.tde-22012013-110850" TargetMode="External"/><Relationship Id="rId16" Type="http://schemas.openxmlformats.org/officeDocument/2006/relationships/hyperlink" Target="https://doi.org/10.1080/07924259.2008.9652272" TargetMode="External"/><Relationship Id="rId29" Type="http://schemas.openxmlformats.org/officeDocument/2006/relationships/hyperlink" Target="https://doi.org/10.1093/icesjms/fsw188" TargetMode="External"/><Relationship Id="rId11" Type="http://schemas.openxmlformats.org/officeDocument/2006/relationships/hyperlink" Target="https://doi.org/10.5088/atl&#226;ntica.v33i2.1442" TargetMode="External"/><Relationship Id="rId24" Type="http://schemas.openxmlformats.org/officeDocument/2006/relationships/hyperlink" Target="https://doi.org/10.3897/zookeys.457.6682" TargetMode="External"/><Relationship Id="rId32" Type="http://schemas.openxmlformats.org/officeDocument/2006/relationships/hyperlink" Target="https://doi.org/10.5088/atl.2009.31.2.169" TargetMode="External"/><Relationship Id="rId37" Type="http://schemas.openxmlformats.org/officeDocument/2006/relationships/hyperlink" Target="https://doi.org/10.1111/2041-210X.12791" TargetMode="External"/><Relationship Id="rId40" Type="http://schemas.openxmlformats.org/officeDocument/2006/relationships/hyperlink" Target="https://www.fisheries.noaa.gov/foss/f?p=215:200:3458588479033" TargetMode="External"/><Relationship Id="rId45" Type="http://schemas.openxmlformats.org/officeDocument/2006/relationships/hyperlink" Target="https://doi.org/10.47193/mafis.3522022010503" TargetMode="External"/><Relationship Id="rId53" Type="http://schemas.openxmlformats.org/officeDocument/2006/relationships/hyperlink" Target="https://doi.org/10.37002/revistacepsul.vol4.55746-57" TargetMode="External"/><Relationship Id="rId58" Type="http://schemas.openxmlformats.org/officeDocument/2006/relationships/hyperlink" Target="https://doi.org/10.1353/book.39942" TargetMode="External"/><Relationship Id="rId66" Type="http://schemas.openxmlformats.org/officeDocument/2006/relationships/hyperlink" Target="https://doi.org/10.1590/S1415-47572005000200014" TargetMode="External"/><Relationship Id="rId5" Type="http://schemas.openxmlformats.org/officeDocument/2006/relationships/hyperlink" Target="https://doi.org/10.1016/S0165-7836(99)00062-4" TargetMode="External"/><Relationship Id="rId61" Type="http://schemas.openxmlformats.org/officeDocument/2006/relationships/hyperlink" Target="https://doi.org/10.3354/ab00653" TargetMode="External"/><Relationship Id="rId19" Type="http://schemas.openxmlformats.org/officeDocument/2006/relationships/hyperlink" Target="https://www.fao.org/in-action/globefish/home/globefish---quarterly-shrimp-analysis---may-2025/en" TargetMode="External"/><Relationship Id="rId14" Type="http://schemas.openxmlformats.org/officeDocument/2006/relationships/hyperlink" Target="https://doi.org/10.1651/S-2788.1" TargetMode="External"/><Relationship Id="rId22" Type="http://schemas.openxmlformats.org/officeDocument/2006/relationships/hyperlink" Target="https://doi.org/10.1007/s10592-008-9570-9" TargetMode="External"/><Relationship Id="rId27" Type="http://schemas.openxmlformats.org/officeDocument/2006/relationships/hyperlink" Target="https://doi.org/10.20950/1678-2305.2013v39n3p283" TargetMode="External"/><Relationship Id="rId30" Type="http://schemas.openxmlformats.org/officeDocument/2006/relationships/hyperlink" Target="https://doi.org/10.1590/S1519-69842006000300019" TargetMode="External"/><Relationship Id="rId35" Type="http://schemas.openxmlformats.org/officeDocument/2006/relationships/hyperlink" Target="https://doi.org/10.4025/actascibiolsci.v40i1.40379" TargetMode="External"/><Relationship Id="rId43" Type="http://schemas.openxmlformats.org/officeDocument/2006/relationships/hyperlink" Target="https://doi.org/10.3856/vol46-issue1-fulltext-1" TargetMode="External"/><Relationship Id="rId48" Type="http://schemas.openxmlformats.org/officeDocument/2006/relationships/hyperlink" Target="https://doi.org/10.1139/f87-336" TargetMode="External"/><Relationship Id="rId56" Type="http://schemas.openxmlformats.org/officeDocument/2006/relationships/hyperlink" Target="https://doi.org/10.1017/S0025315420001393" TargetMode="External"/><Relationship Id="rId64" Type="http://schemas.openxmlformats.org/officeDocument/2006/relationships/hyperlink" Target="https://doi.org/10.1016/j.ecss.2015.07.009" TargetMode="External"/><Relationship Id="rId69" Type="http://schemas.openxmlformats.org/officeDocument/2006/relationships/hyperlink" Target="https://doi.org/10.1007/s11160-016-9454-x" TargetMode="External"/><Relationship Id="rId8" Type="http://schemas.openxmlformats.org/officeDocument/2006/relationships/hyperlink" Target="https://doi.org/10.1590/S0101-81752005000400034" TargetMode="External"/><Relationship Id="rId51" Type="http://schemas.openxmlformats.org/officeDocument/2006/relationships/hyperlink" Target="https://doi.org/10.1017/S0025315417001916" TargetMode="External"/><Relationship Id="rId3" Type="http://schemas.openxmlformats.org/officeDocument/2006/relationships/hyperlink" Target="https://doi.org/10.2312/ActaFish.2015.3.1.77-90" TargetMode="External"/><Relationship Id="rId12" Type="http://schemas.openxmlformats.org/officeDocument/2006/relationships/hyperlink" Target="https://doi.org/10.1038/s41598-019-51484-3" TargetMode="External"/><Relationship Id="rId17" Type="http://schemas.openxmlformats.org/officeDocument/2006/relationships/hyperlink" Target="https://doi.org/10.1080/07924259.2019.1575923" TargetMode="External"/><Relationship Id="rId25" Type="http://schemas.openxmlformats.org/officeDocument/2006/relationships/hyperlink" Target="https://doi.org/10.1139/f94-100" TargetMode="External"/><Relationship Id="rId33" Type="http://schemas.openxmlformats.org/officeDocument/2006/relationships/hyperlink" Target="https://doi.org/10.1111/j.1467-2979.2012.00485.x" TargetMode="External"/><Relationship Id="rId38" Type="http://schemas.openxmlformats.org/officeDocument/2006/relationships/hyperlink" Target="https://doi.org/10.1139/f84-106" TargetMode="External"/><Relationship Id="rId46" Type="http://schemas.openxmlformats.org/officeDocument/2006/relationships/hyperlink" Target="https://doi.org/10.1017/S0025315416000904" TargetMode="External"/><Relationship Id="rId59" Type="http://schemas.openxmlformats.org/officeDocument/2006/relationships/hyperlink" Target="https://doi.org/10.1016/j.marpol.2013.02.002" TargetMode="External"/><Relationship Id="rId67" Type="http://schemas.openxmlformats.org/officeDocument/2006/relationships/hyperlink" Target="https://doi.org/10.1088/1755-1315/763/1/012038" TargetMode="External"/><Relationship Id="rId20" Type="http://schemas.openxmlformats.org/officeDocument/2006/relationships/hyperlink" Target="https://doi.org/10.1163/156854011X605765" TargetMode="External"/><Relationship Id="rId41" Type="http://schemas.openxmlformats.org/officeDocument/2006/relationships/hyperlink" Target="https://doi.org/10.1038/nature01017" TargetMode="External"/><Relationship Id="rId54" Type="http://schemas.openxmlformats.org/officeDocument/2006/relationships/hyperlink" Target="https://doi.org/10.1590/2358-2936e2021002" TargetMode="External"/><Relationship Id="rId62" Type="http://schemas.openxmlformats.org/officeDocument/2006/relationships/hyperlink" Target="https://doi.org/10.1163/1937240X-00002325" TargetMode="External"/><Relationship Id="rId70" Type="http://schemas.openxmlformats.org/officeDocument/2006/relationships/hyperlink" Target="https://doi.org/10.1016/j.marpol.2016.04.046" TargetMode="External"/><Relationship Id="rId1" Type="http://schemas.openxmlformats.org/officeDocument/2006/relationships/hyperlink" Target="https://doi.org/10.3354/ab00462" TargetMode="External"/><Relationship Id="rId6" Type="http://schemas.openxmlformats.org/officeDocument/2006/relationships/hyperlink" Target="https://doi.org/10.1093/icesjms/fsu085" TargetMode="External"/><Relationship Id="rId15" Type="http://schemas.openxmlformats.org/officeDocument/2006/relationships/hyperlink" Target="https://doi.org/10.1016/j.fishres.2022.106493" TargetMode="External"/><Relationship Id="rId23" Type="http://schemas.openxmlformats.org/officeDocument/2006/relationships/hyperlink" Target="https://doi.org/10.1080/02755947.2016.1271842" TargetMode="External"/><Relationship Id="rId28" Type="http://schemas.openxmlformats.org/officeDocument/2006/relationships/hyperlink" Target="https://doi.org/10.1016/j.rsma.2021.101859" TargetMode="External"/><Relationship Id="rId36" Type="http://schemas.openxmlformats.org/officeDocument/2006/relationships/hyperlink" Target="https://doi.org/10.1111/2041-210X.12791" TargetMode="External"/><Relationship Id="rId49" Type="http://schemas.openxmlformats.org/officeDocument/2006/relationships/hyperlink" Target="https://doi.org/10.18764/" TargetMode="External"/><Relationship Id="rId57" Type="http://schemas.openxmlformats.org/officeDocument/2006/relationships/hyperlink" Target="https://doi.org/10.1016/j.rsma.2020.101218" TargetMode="External"/><Relationship Id="rId10" Type="http://schemas.openxmlformats.org/officeDocument/2006/relationships/hyperlink" Target="https://doi.org/10.1590/S0101-81751998000200008" TargetMode="External"/><Relationship Id="rId31" Type="http://schemas.openxmlformats.org/officeDocument/2006/relationships/hyperlink" Target="https://doi.org/10.1590/S1679-87592014079706204" TargetMode="External"/><Relationship Id="rId44" Type="http://schemas.openxmlformats.org/officeDocument/2006/relationships/hyperlink" Target="https://doi.org/10.1590/S1516-89132005000800016" TargetMode="External"/><Relationship Id="rId52" Type="http://schemas.openxmlformats.org/officeDocument/2006/relationships/hyperlink" Target="https://doi.org/10.1007/s41208-022-00494-6" TargetMode="External"/><Relationship Id="rId60" Type="http://schemas.openxmlformats.org/officeDocument/2006/relationships/hyperlink" Target="https://doi.org/10.1017/S0025315418000322" TargetMode="External"/><Relationship Id="rId65" Type="http://schemas.openxmlformats.org/officeDocument/2006/relationships/hyperlink" Target="http://www.un.org/Depts/los/convention_agreements/texts/unclos/unclos_e.pdf" TargetMode="External"/><Relationship Id="rId4" Type="http://schemas.openxmlformats.org/officeDocument/2006/relationships/hyperlink" Target="https://doi.org/10.1139/cjfas-2016-0452" TargetMode="External"/><Relationship Id="rId9" Type="http://schemas.openxmlformats.org/officeDocument/2006/relationships/hyperlink" Target="https://doi.org/10.1590/S1516-89131999000100016" TargetMode="External"/><Relationship Id="rId13" Type="http://schemas.openxmlformats.org/officeDocument/2006/relationships/hyperlink" Target="https://doi.org/10.1163/1937240X-00002300" TargetMode="External"/><Relationship Id="rId18" Type="http://schemas.openxmlformats.org/officeDocument/2006/relationships/hyperlink" Target="https://doi.org/10.4025/actascibiolsci.v35i2.13408" TargetMode="External"/><Relationship Id="rId39" Type="http://schemas.openxmlformats.org/officeDocument/2006/relationships/hyperlink" Target="https://doi.org/10.1016/j.ocecoaman.2017.07.018" TargetMode="External"/><Relationship Id="rId34" Type="http://schemas.openxmlformats.org/officeDocument/2006/relationships/hyperlink" Target="https://doi.org/10.1038/s41893-020-00668-1" TargetMode="External"/><Relationship Id="rId50" Type="http://schemas.openxmlformats.org/officeDocument/2006/relationships/hyperlink" Target="https://www.r-project.org/" TargetMode="External"/><Relationship Id="rId55" Type="http://schemas.openxmlformats.org/officeDocument/2006/relationships/hyperlink" Target="https://doi.org/10.1139/cjfas-2017-01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2"/>
  <sheetViews>
    <sheetView tabSelected="1" zoomScaleNormal="100" workbookViewId="0">
      <pane ySplit="1" topLeftCell="A2" activePane="bottomLeft" state="frozen"/>
      <selection pane="bottomLeft" activeCell="A2" sqref="A2"/>
    </sheetView>
  </sheetViews>
  <sheetFormatPr defaultRowHeight="15" x14ac:dyDescent="0.25"/>
  <cols>
    <col min="1" max="1" width="12.5703125" bestFit="1" customWidth="1"/>
    <col min="2" max="2" width="10.85546875" bestFit="1" customWidth="1"/>
    <col min="3" max="3" width="11" bestFit="1" customWidth="1"/>
    <col min="4" max="4" width="7.7109375" customWidth="1"/>
    <col min="5" max="5" width="6.85546875" bestFit="1" customWidth="1"/>
    <col min="6" max="6" width="10.7109375" bestFit="1" customWidth="1"/>
    <col min="7" max="7" width="10.5703125" bestFit="1" customWidth="1"/>
    <col min="8" max="8" width="9.28515625" bestFit="1" customWidth="1"/>
    <col min="9" max="9" width="9.42578125" bestFit="1" customWidth="1"/>
    <col min="12" max="12" width="7.7109375" bestFit="1" customWidth="1"/>
    <col min="13" max="13" width="5.7109375" bestFit="1" customWidth="1"/>
    <col min="14" max="16" width="5" bestFit="1" customWidth="1"/>
    <col min="17" max="17" width="12" bestFit="1" customWidth="1"/>
    <col min="18" max="18" width="5" bestFit="1" customWidth="1"/>
    <col min="19" max="20" width="7" bestFit="1" customWidth="1"/>
    <col min="21" max="21" width="28" bestFit="1" customWidth="1"/>
    <col min="22" max="22" width="21.7109375" bestFit="1" customWidth="1"/>
  </cols>
  <sheetData>
    <row r="1" spans="1:23" x14ac:dyDescent="0.25">
      <c r="A1" s="1" t="s">
        <v>163</v>
      </c>
      <c r="B1" s="1" t="s">
        <v>57</v>
      </c>
      <c r="C1" s="1" t="s">
        <v>58</v>
      </c>
      <c r="D1" s="5" t="s">
        <v>59</v>
      </c>
      <c r="E1" s="3" t="s">
        <v>11</v>
      </c>
      <c r="F1" s="1" t="s">
        <v>34</v>
      </c>
      <c r="G1" s="1" t="s">
        <v>35</v>
      </c>
      <c r="H1" s="1" t="s">
        <v>36</v>
      </c>
      <c r="I1" s="1" t="s">
        <v>37</v>
      </c>
      <c r="J1" s="1" t="s">
        <v>38</v>
      </c>
      <c r="K1" s="1" t="s">
        <v>39</v>
      </c>
      <c r="L1" s="1" t="s">
        <v>0</v>
      </c>
      <c r="M1" s="1" t="s">
        <v>164</v>
      </c>
      <c r="N1" s="1" t="s">
        <v>42</v>
      </c>
      <c r="O1" s="1" t="s">
        <v>43</v>
      </c>
      <c r="P1" s="1" t="s">
        <v>44</v>
      </c>
      <c r="Q1" s="1" t="s">
        <v>55</v>
      </c>
      <c r="R1" s="1" t="s">
        <v>56</v>
      </c>
      <c r="S1" s="1" t="s">
        <v>60</v>
      </c>
      <c r="T1" s="9" t="s">
        <v>61</v>
      </c>
      <c r="U1" s="1" t="s">
        <v>165</v>
      </c>
      <c r="V1" s="1" t="s">
        <v>167</v>
      </c>
      <c r="W1" s="1" t="s">
        <v>166</v>
      </c>
    </row>
    <row r="2" spans="1:23" x14ac:dyDescent="0.25">
      <c r="A2" s="6" t="s">
        <v>1</v>
      </c>
      <c r="B2" s="10">
        <f>(C2+$S$3)/$T$3</f>
        <v>147.94753086419752</v>
      </c>
      <c r="C2">
        <v>33.4</v>
      </c>
      <c r="D2" s="10">
        <f>$Q$2*C2^$R$2</f>
        <v>17.914554509122087</v>
      </c>
      <c r="E2">
        <v>1.1000000000000001</v>
      </c>
      <c r="F2">
        <v>22</v>
      </c>
      <c r="G2" s="10">
        <f>(F2+$S$3)/$T$3</f>
        <v>97.682980599647266</v>
      </c>
      <c r="H2">
        <f>(I2+$S$3)/$T$3</f>
        <v>124.13800705467372</v>
      </c>
      <c r="I2">
        <v>28</v>
      </c>
      <c r="J2">
        <v>13</v>
      </c>
      <c r="K2" s="10">
        <f>(J2+$S$3)/$T$3</f>
        <v>58.000440917107589</v>
      </c>
      <c r="Q2" s="4">
        <v>2.0000000000000001E-4</v>
      </c>
      <c r="R2" s="4">
        <v>3.25</v>
      </c>
      <c r="S2" s="4"/>
      <c r="T2" s="4"/>
      <c r="U2" t="s">
        <v>68</v>
      </c>
      <c r="V2" t="s">
        <v>4</v>
      </c>
      <c r="W2" t="s">
        <v>51</v>
      </c>
    </row>
    <row r="3" spans="1:23" x14ac:dyDescent="0.25">
      <c r="A3" s="6" t="s">
        <v>1</v>
      </c>
      <c r="B3" s="10">
        <f t="shared" ref="B3:B5" si="0">(C3+$S$3)/$T$3</f>
        <v>201.739417989418</v>
      </c>
      <c r="C3">
        <v>45.6</v>
      </c>
      <c r="D3" s="10">
        <f t="shared" ref="D3:D5" si="1">$Q$2*C3^$R$2</f>
        <v>49.279436636704716</v>
      </c>
      <c r="E3">
        <v>1.28</v>
      </c>
      <c r="H3">
        <v>90</v>
      </c>
      <c r="I3">
        <v>18</v>
      </c>
      <c r="J3">
        <v>20</v>
      </c>
      <c r="K3" s="10">
        <f t="shared" ref="K3" si="2">(J3+$S$3)/$T$3</f>
        <v>88.864638447971771</v>
      </c>
      <c r="M3">
        <v>2.11</v>
      </c>
      <c r="N3">
        <v>3.1</v>
      </c>
      <c r="O3">
        <v>2.15</v>
      </c>
      <c r="P3">
        <v>5.25</v>
      </c>
      <c r="S3">
        <v>0.1545</v>
      </c>
      <c r="T3">
        <v>0.2268</v>
      </c>
      <c r="U3" t="s">
        <v>69</v>
      </c>
      <c r="V3" t="s">
        <v>10</v>
      </c>
      <c r="W3" t="s">
        <v>53</v>
      </c>
    </row>
    <row r="4" spans="1:23" x14ac:dyDescent="0.25">
      <c r="A4" s="6" t="s">
        <v>1</v>
      </c>
      <c r="N4">
        <v>2.36</v>
      </c>
      <c r="O4">
        <v>1.85</v>
      </c>
      <c r="P4">
        <v>4.21</v>
      </c>
      <c r="U4" t="s">
        <v>70</v>
      </c>
      <c r="V4" t="s">
        <v>47</v>
      </c>
    </row>
    <row r="5" spans="1:23" x14ac:dyDescent="0.25">
      <c r="A5" s="6" t="s">
        <v>1</v>
      </c>
      <c r="B5" s="10">
        <f t="shared" si="0"/>
        <v>191.15740740740742</v>
      </c>
      <c r="C5">
        <v>43.2</v>
      </c>
      <c r="D5" s="10">
        <f t="shared" si="1"/>
        <v>41.338258130028521</v>
      </c>
      <c r="E5">
        <v>1.1000000000000001</v>
      </c>
      <c r="F5">
        <v>25.6</v>
      </c>
      <c r="G5" s="10">
        <v>113</v>
      </c>
      <c r="N5">
        <v>2.36</v>
      </c>
      <c r="O5">
        <v>2</v>
      </c>
      <c r="P5">
        <v>4.3600000000000003</v>
      </c>
      <c r="U5" t="s">
        <v>71</v>
      </c>
      <c r="V5" t="s">
        <v>22</v>
      </c>
      <c r="W5" t="s">
        <v>51</v>
      </c>
    </row>
    <row r="6" spans="1:23" x14ac:dyDescent="0.25">
      <c r="A6" s="6" t="s">
        <v>1</v>
      </c>
      <c r="B6" s="10">
        <v>218</v>
      </c>
      <c r="C6">
        <v>47.96</v>
      </c>
      <c r="D6" s="10">
        <v>43.6</v>
      </c>
      <c r="E6">
        <v>1.27</v>
      </c>
      <c r="F6">
        <v>28.5</v>
      </c>
      <c r="G6" s="10">
        <v>142.6</v>
      </c>
      <c r="H6">
        <v>90</v>
      </c>
      <c r="I6" s="10">
        <v>19.8</v>
      </c>
      <c r="J6" s="10">
        <v>23.8</v>
      </c>
      <c r="K6">
        <v>133.6</v>
      </c>
      <c r="M6">
        <v>2.5</v>
      </c>
      <c r="N6">
        <v>2.2999999999999998</v>
      </c>
      <c r="O6">
        <v>2.82</v>
      </c>
      <c r="P6">
        <v>5.12</v>
      </c>
      <c r="Q6">
        <v>2.3199999999999998E-6</v>
      </c>
      <c r="R6">
        <v>3.2</v>
      </c>
      <c r="U6" t="s">
        <v>72</v>
      </c>
      <c r="V6" t="s">
        <v>22</v>
      </c>
      <c r="W6" t="s">
        <v>51</v>
      </c>
    </row>
    <row r="7" spans="1:23" x14ac:dyDescent="0.25">
      <c r="A7" s="6" t="s">
        <v>1</v>
      </c>
      <c r="B7" s="10">
        <v>189.3</v>
      </c>
      <c r="C7">
        <v>37.86</v>
      </c>
      <c r="D7" s="10">
        <v>37.86</v>
      </c>
      <c r="E7">
        <v>2.2000000000000002</v>
      </c>
      <c r="F7">
        <v>15.47</v>
      </c>
      <c r="G7" s="10">
        <v>77.349999999999994</v>
      </c>
      <c r="L7">
        <v>-0.55000000000000004</v>
      </c>
      <c r="M7">
        <v>2.06</v>
      </c>
      <c r="U7" t="s">
        <v>73</v>
      </c>
      <c r="V7" t="s">
        <v>50</v>
      </c>
      <c r="W7" t="s">
        <v>53</v>
      </c>
    </row>
    <row r="8" spans="1:23" x14ac:dyDescent="0.25">
      <c r="A8" s="6" t="s">
        <v>1</v>
      </c>
      <c r="F8">
        <v>19.8</v>
      </c>
      <c r="G8" s="10">
        <f t="shared" ref="G8:G19" si="3">(F8+$S$3)/$T$3</f>
        <v>87.982804232804227</v>
      </c>
      <c r="O8">
        <v>2.16</v>
      </c>
      <c r="U8" t="s">
        <v>74</v>
      </c>
      <c r="V8" t="s">
        <v>22</v>
      </c>
      <c r="W8" t="s">
        <v>51</v>
      </c>
    </row>
    <row r="9" spans="1:23" x14ac:dyDescent="0.25">
      <c r="A9" s="6" t="s">
        <v>1</v>
      </c>
      <c r="F9">
        <v>16.600000000000001</v>
      </c>
      <c r="G9" s="10">
        <v>83</v>
      </c>
      <c r="U9" t="s">
        <v>75</v>
      </c>
      <c r="V9" t="s">
        <v>22</v>
      </c>
      <c r="W9" t="s">
        <v>51</v>
      </c>
    </row>
    <row r="10" spans="1:23" x14ac:dyDescent="0.25">
      <c r="A10" s="6" t="s">
        <v>1</v>
      </c>
      <c r="F10">
        <v>22.8</v>
      </c>
      <c r="G10" s="10">
        <f t="shared" si="3"/>
        <v>101.21031746031746</v>
      </c>
      <c r="U10" t="s">
        <v>76</v>
      </c>
      <c r="V10" t="s">
        <v>62</v>
      </c>
      <c r="W10" t="s">
        <v>53</v>
      </c>
    </row>
    <row r="11" spans="1:23" x14ac:dyDescent="0.25">
      <c r="A11" s="6" t="s">
        <v>1</v>
      </c>
      <c r="F11">
        <v>25.4</v>
      </c>
      <c r="G11" s="10">
        <f t="shared" si="3"/>
        <v>112.67416225749558</v>
      </c>
      <c r="U11" t="s">
        <v>69</v>
      </c>
      <c r="V11" t="s">
        <v>5</v>
      </c>
      <c r="W11" t="s">
        <v>53</v>
      </c>
    </row>
    <row r="12" spans="1:23" x14ac:dyDescent="0.25">
      <c r="A12" s="6" t="s">
        <v>1</v>
      </c>
      <c r="F12">
        <v>22</v>
      </c>
      <c r="G12" s="10">
        <f t="shared" si="3"/>
        <v>97.682980599647266</v>
      </c>
      <c r="U12" t="s">
        <v>77</v>
      </c>
      <c r="V12" t="s">
        <v>22</v>
      </c>
      <c r="W12" t="s">
        <v>51</v>
      </c>
    </row>
    <row r="13" spans="1:23" x14ac:dyDescent="0.25">
      <c r="A13" s="6" t="s">
        <v>1</v>
      </c>
      <c r="F13">
        <v>29.1</v>
      </c>
      <c r="G13" s="10">
        <f t="shared" si="3"/>
        <v>128.98809523809524</v>
      </c>
      <c r="U13" t="s">
        <v>78</v>
      </c>
      <c r="V13" t="s">
        <v>22</v>
      </c>
      <c r="W13" t="s">
        <v>51</v>
      </c>
    </row>
    <row r="14" spans="1:23" x14ac:dyDescent="0.25">
      <c r="A14" s="6" t="s">
        <v>1</v>
      </c>
      <c r="F14">
        <v>16</v>
      </c>
      <c r="G14" s="10">
        <f>(F14+$S$3)/$T$3</f>
        <v>71.22795414462081</v>
      </c>
      <c r="U14" t="s">
        <v>79</v>
      </c>
      <c r="V14" t="s">
        <v>17</v>
      </c>
      <c r="W14" t="s">
        <v>53</v>
      </c>
    </row>
    <row r="15" spans="1:23" x14ac:dyDescent="0.25">
      <c r="A15" s="6" t="s">
        <v>1</v>
      </c>
      <c r="F15">
        <v>23.7</v>
      </c>
      <c r="G15" s="10">
        <f t="shared" si="3"/>
        <v>105.17857142857142</v>
      </c>
      <c r="U15" t="s">
        <v>80</v>
      </c>
      <c r="V15" t="s">
        <v>15</v>
      </c>
      <c r="W15" t="s">
        <v>53</v>
      </c>
    </row>
    <row r="16" spans="1:23" x14ac:dyDescent="0.25">
      <c r="A16" s="6" t="s">
        <v>1</v>
      </c>
      <c r="F16">
        <v>15.5</v>
      </c>
      <c r="G16" s="10">
        <f t="shared" si="3"/>
        <v>69.023368606701936</v>
      </c>
      <c r="U16" t="s">
        <v>81</v>
      </c>
      <c r="V16" t="s">
        <v>12</v>
      </c>
      <c r="W16" t="s">
        <v>53</v>
      </c>
    </row>
    <row r="17" spans="1:23" x14ac:dyDescent="0.25">
      <c r="A17" s="6" t="s">
        <v>1</v>
      </c>
      <c r="F17">
        <v>17.98</v>
      </c>
      <c r="G17" s="10">
        <f t="shared" si="3"/>
        <v>79.95811287477953</v>
      </c>
      <c r="U17" t="s">
        <v>156</v>
      </c>
      <c r="V17" t="s">
        <v>50</v>
      </c>
      <c r="W17" t="s">
        <v>53</v>
      </c>
    </row>
    <row r="18" spans="1:23" x14ac:dyDescent="0.25">
      <c r="A18" s="6" t="s">
        <v>27</v>
      </c>
      <c r="B18" s="10">
        <v>211.43</v>
      </c>
      <c r="C18">
        <v>47.8</v>
      </c>
      <c r="D18" s="10">
        <f>$Q$33*C18^$R$33</f>
        <v>70.742296796205849</v>
      </c>
      <c r="E18">
        <v>1.96</v>
      </c>
      <c r="F18">
        <v>27.5</v>
      </c>
      <c r="G18" s="10">
        <f t="shared" si="3"/>
        <v>121.93342151675485</v>
      </c>
      <c r="H18" s="10">
        <v>60.2</v>
      </c>
      <c r="I18">
        <v>13.5</v>
      </c>
      <c r="L18">
        <v>-0.8</v>
      </c>
      <c r="M18">
        <v>2.2999999999999998</v>
      </c>
      <c r="U18" t="s">
        <v>82</v>
      </c>
      <c r="V18" t="s">
        <v>23</v>
      </c>
      <c r="W18" t="s">
        <v>54</v>
      </c>
    </row>
    <row r="19" spans="1:23" x14ac:dyDescent="0.25">
      <c r="A19" s="6" t="s">
        <v>28</v>
      </c>
      <c r="B19" s="10">
        <v>212</v>
      </c>
      <c r="C19">
        <v>52.5</v>
      </c>
      <c r="D19">
        <v>84</v>
      </c>
      <c r="E19">
        <v>1.6</v>
      </c>
      <c r="F19">
        <v>26</v>
      </c>
      <c r="G19" s="10">
        <f t="shared" si="3"/>
        <v>115.31966490299823</v>
      </c>
      <c r="H19" s="10">
        <v>55</v>
      </c>
      <c r="I19">
        <v>12.3</v>
      </c>
      <c r="L19">
        <v>-1.94</v>
      </c>
      <c r="M19">
        <v>2.72</v>
      </c>
      <c r="U19" t="s">
        <v>82</v>
      </c>
      <c r="V19" t="s">
        <v>23</v>
      </c>
      <c r="W19" t="s">
        <v>54</v>
      </c>
    </row>
    <row r="20" spans="1:23" x14ac:dyDescent="0.25">
      <c r="A20" s="6" t="s">
        <v>27</v>
      </c>
      <c r="B20" s="10">
        <v>124.13</v>
      </c>
      <c r="C20">
        <v>28</v>
      </c>
      <c r="D20" s="10">
        <f>$Q$33*C20^$R$33</f>
        <v>13.478531366703328</v>
      </c>
      <c r="E20">
        <v>0.2</v>
      </c>
      <c r="H20" s="10">
        <v>75</v>
      </c>
      <c r="I20">
        <v>16.5</v>
      </c>
      <c r="S20">
        <v>0</v>
      </c>
      <c r="T20">
        <v>0.20780000000000001</v>
      </c>
      <c r="U20" t="s">
        <v>83</v>
      </c>
      <c r="V20" t="s">
        <v>30</v>
      </c>
      <c r="W20" t="s">
        <v>52</v>
      </c>
    </row>
    <row r="21" spans="1:23" x14ac:dyDescent="0.25">
      <c r="A21" s="6" t="s">
        <v>28</v>
      </c>
      <c r="B21" s="10">
        <v>224</v>
      </c>
      <c r="C21">
        <v>56.2</v>
      </c>
      <c r="D21">
        <v>86</v>
      </c>
      <c r="E21">
        <v>1.24</v>
      </c>
      <c r="J21" s="10">
        <v>18.2</v>
      </c>
      <c r="K21">
        <v>83</v>
      </c>
      <c r="M21">
        <v>2</v>
      </c>
      <c r="N21">
        <v>4.7</v>
      </c>
      <c r="O21">
        <v>1.8</v>
      </c>
      <c r="P21">
        <v>6.5</v>
      </c>
      <c r="Q21">
        <v>0.01</v>
      </c>
      <c r="R21">
        <v>3.4</v>
      </c>
      <c r="S21">
        <v>1.38</v>
      </c>
      <c r="T21">
        <v>3.92</v>
      </c>
      <c r="U21" t="s">
        <v>84</v>
      </c>
      <c r="V21" t="s">
        <v>33</v>
      </c>
      <c r="W21" t="s">
        <v>54</v>
      </c>
    </row>
    <row r="22" spans="1:23" x14ac:dyDescent="0.25">
      <c r="A22" s="6" t="s">
        <v>27</v>
      </c>
      <c r="B22" s="10">
        <v>208</v>
      </c>
      <c r="C22">
        <v>50</v>
      </c>
      <c r="D22" s="10">
        <f>$Q$33*C22^$R$33</f>
        <v>81.331670014557261</v>
      </c>
      <c r="E22">
        <v>1.34</v>
      </c>
      <c r="J22" s="10">
        <v>19.8</v>
      </c>
      <c r="K22">
        <v>90</v>
      </c>
      <c r="M22">
        <v>2</v>
      </c>
      <c r="N22">
        <v>6.8</v>
      </c>
      <c r="O22">
        <v>1.9</v>
      </c>
      <c r="P22">
        <v>8.6999999999999993</v>
      </c>
      <c r="Q22">
        <v>0.08</v>
      </c>
      <c r="R22">
        <v>3</v>
      </c>
      <c r="S22">
        <v>1.17</v>
      </c>
      <c r="T22">
        <v>4.03</v>
      </c>
      <c r="U22" t="s">
        <v>84</v>
      </c>
      <c r="V22" t="s">
        <v>33</v>
      </c>
      <c r="W22" t="s">
        <v>54</v>
      </c>
    </row>
    <row r="23" spans="1:23" x14ac:dyDescent="0.25">
      <c r="A23" s="6" t="s">
        <v>27</v>
      </c>
      <c r="B23">
        <v>250</v>
      </c>
      <c r="C23" s="10">
        <v>55</v>
      </c>
      <c r="D23" s="10">
        <v>75</v>
      </c>
      <c r="M23">
        <v>2</v>
      </c>
      <c r="U23" t="s">
        <v>85</v>
      </c>
      <c r="V23" t="s">
        <v>63</v>
      </c>
      <c r="W23" t="s">
        <v>52</v>
      </c>
    </row>
    <row r="24" spans="1:23" x14ac:dyDescent="0.25">
      <c r="A24" s="6" t="s">
        <v>28</v>
      </c>
      <c r="B24" s="10">
        <v>201.4</v>
      </c>
      <c r="C24">
        <v>50.35</v>
      </c>
      <c r="D24" s="10">
        <v>60.3</v>
      </c>
      <c r="E24">
        <v>1.7</v>
      </c>
      <c r="L24">
        <v>-0.56000000000000005</v>
      </c>
      <c r="M24">
        <v>2.7</v>
      </c>
      <c r="O24" s="12"/>
      <c r="U24" t="s">
        <v>86</v>
      </c>
      <c r="V24" t="s">
        <v>66</v>
      </c>
      <c r="W24" t="s">
        <v>54</v>
      </c>
    </row>
    <row r="25" spans="1:23" x14ac:dyDescent="0.25">
      <c r="A25" s="6" t="s">
        <v>27</v>
      </c>
      <c r="B25" s="10">
        <v>194.4</v>
      </c>
      <c r="C25">
        <v>48.6</v>
      </c>
      <c r="D25" s="10">
        <v>58.32</v>
      </c>
      <c r="E25">
        <v>2.1</v>
      </c>
      <c r="L25">
        <v>-0.22</v>
      </c>
      <c r="M25">
        <v>2.2000000000000002</v>
      </c>
      <c r="O25" s="12"/>
      <c r="U25" t="s">
        <v>86</v>
      </c>
      <c r="V25" t="s">
        <v>66</v>
      </c>
      <c r="W25" t="s">
        <v>54</v>
      </c>
    </row>
    <row r="26" spans="1:23" x14ac:dyDescent="0.25">
      <c r="A26" s="6" t="s">
        <v>28</v>
      </c>
      <c r="B26" s="10">
        <v>201.4</v>
      </c>
      <c r="C26">
        <v>50.35</v>
      </c>
      <c r="D26" s="10">
        <v>60.3</v>
      </c>
      <c r="E26">
        <v>1.7</v>
      </c>
      <c r="L26">
        <v>-0.56000000000000005</v>
      </c>
      <c r="M26">
        <v>2.7</v>
      </c>
      <c r="O26" s="4">
        <v>1.63</v>
      </c>
      <c r="U26" t="s">
        <v>155</v>
      </c>
      <c r="V26" t="s">
        <v>66</v>
      </c>
      <c r="W26" t="s">
        <v>54</v>
      </c>
    </row>
    <row r="27" spans="1:23" x14ac:dyDescent="0.25">
      <c r="A27" s="6" t="s">
        <v>27</v>
      </c>
      <c r="B27" s="10">
        <v>194.4</v>
      </c>
      <c r="C27">
        <v>48.6</v>
      </c>
      <c r="D27" s="10">
        <v>58.32</v>
      </c>
      <c r="E27">
        <v>2.1</v>
      </c>
      <c r="L27">
        <v>-0.22</v>
      </c>
      <c r="M27">
        <v>2.2000000000000002</v>
      </c>
      <c r="O27" s="4">
        <v>2.2200000000000002</v>
      </c>
      <c r="U27" t="s">
        <v>155</v>
      </c>
      <c r="V27" t="s">
        <v>66</v>
      </c>
      <c r="W27" t="s">
        <v>54</v>
      </c>
    </row>
    <row r="28" spans="1:23" x14ac:dyDescent="0.25">
      <c r="A28" s="6" t="s">
        <v>28</v>
      </c>
      <c r="N28">
        <v>7.1</v>
      </c>
      <c r="O28">
        <v>2.2000000000000002</v>
      </c>
      <c r="P28">
        <v>9.33</v>
      </c>
      <c r="U28" t="s">
        <v>87</v>
      </c>
      <c r="V28" t="s">
        <v>32</v>
      </c>
      <c r="W28" t="s">
        <v>54</v>
      </c>
    </row>
    <row r="29" spans="1:23" x14ac:dyDescent="0.25">
      <c r="A29" s="6" t="s">
        <v>27</v>
      </c>
      <c r="B29">
        <v>220.4</v>
      </c>
      <c r="C29">
        <v>43.5</v>
      </c>
      <c r="D29">
        <v>92.5</v>
      </c>
      <c r="H29">
        <v>75</v>
      </c>
      <c r="I29">
        <v>16.5</v>
      </c>
      <c r="M29">
        <v>2.5</v>
      </c>
      <c r="U29" t="s">
        <v>88</v>
      </c>
      <c r="V29" t="s">
        <v>63</v>
      </c>
      <c r="W29" t="s">
        <v>52</v>
      </c>
    </row>
    <row r="30" spans="1:23" x14ac:dyDescent="0.25">
      <c r="A30" s="6" t="s">
        <v>27</v>
      </c>
      <c r="N30">
        <v>5.8</v>
      </c>
      <c r="O30">
        <v>1.44</v>
      </c>
      <c r="P30">
        <v>7.3</v>
      </c>
      <c r="U30" t="s">
        <v>89</v>
      </c>
      <c r="V30" t="s">
        <v>63</v>
      </c>
      <c r="W30" t="s">
        <v>52</v>
      </c>
    </row>
    <row r="31" spans="1:23" x14ac:dyDescent="0.25">
      <c r="A31" s="6" t="s">
        <v>27</v>
      </c>
      <c r="B31">
        <v>190</v>
      </c>
      <c r="C31" s="10">
        <v>38</v>
      </c>
      <c r="D31" s="10">
        <v>62.7</v>
      </c>
      <c r="Q31">
        <v>1.0699999999999999E-2</v>
      </c>
      <c r="R31">
        <v>2.88</v>
      </c>
      <c r="U31" t="s">
        <v>90</v>
      </c>
      <c r="V31" t="s">
        <v>14</v>
      </c>
      <c r="W31" t="s">
        <v>54</v>
      </c>
    </row>
    <row r="32" spans="1:23" x14ac:dyDescent="0.25">
      <c r="A32" s="6" t="s">
        <v>27</v>
      </c>
      <c r="Q32">
        <v>1.8E-3</v>
      </c>
      <c r="R32">
        <v>2.74</v>
      </c>
      <c r="U32" t="s">
        <v>91</v>
      </c>
      <c r="V32" t="s">
        <v>33</v>
      </c>
      <c r="W32" t="s">
        <v>54</v>
      </c>
    </row>
    <row r="33" spans="1:23" x14ac:dyDescent="0.25">
      <c r="A33" s="6" t="s">
        <v>27</v>
      </c>
      <c r="B33">
        <v>143.6</v>
      </c>
      <c r="C33">
        <v>31.6</v>
      </c>
      <c r="D33" s="10">
        <f>$Q$33*C33^$R$33</f>
        <v>19.610227527867949</v>
      </c>
      <c r="Q33">
        <v>4.4000000000000002E-4</v>
      </c>
      <c r="R33">
        <v>3.1</v>
      </c>
      <c r="U33" t="s">
        <v>92</v>
      </c>
      <c r="V33" t="s">
        <v>63</v>
      </c>
      <c r="W33" t="s">
        <v>52</v>
      </c>
    </row>
    <row r="34" spans="1:23" x14ac:dyDescent="0.25">
      <c r="A34" s="6" t="s">
        <v>27</v>
      </c>
      <c r="Q34">
        <v>1.35E-2</v>
      </c>
      <c r="R34">
        <v>2.74</v>
      </c>
      <c r="U34" t="s">
        <v>92</v>
      </c>
      <c r="V34" t="s">
        <v>64</v>
      </c>
      <c r="W34" t="s">
        <v>52</v>
      </c>
    </row>
    <row r="35" spans="1:23" x14ac:dyDescent="0.25">
      <c r="A35" s="6" t="s">
        <v>28</v>
      </c>
      <c r="Q35">
        <v>0.01</v>
      </c>
      <c r="R35">
        <v>2.86</v>
      </c>
      <c r="U35" t="s">
        <v>93</v>
      </c>
      <c r="V35" t="s">
        <v>30</v>
      </c>
      <c r="W35" t="s">
        <v>52</v>
      </c>
    </row>
    <row r="36" spans="1:23" x14ac:dyDescent="0.25">
      <c r="A36" s="6" t="s">
        <v>27</v>
      </c>
      <c r="J36" s="10">
        <v>11.1</v>
      </c>
      <c r="K36">
        <v>44.5</v>
      </c>
      <c r="Q36">
        <v>0.05</v>
      </c>
      <c r="R36">
        <v>2.33</v>
      </c>
      <c r="U36" t="s">
        <v>94</v>
      </c>
      <c r="V36" t="s">
        <v>29</v>
      </c>
      <c r="W36" t="s">
        <v>54</v>
      </c>
    </row>
    <row r="37" spans="1:23" x14ac:dyDescent="0.25">
      <c r="A37" s="6" t="s">
        <v>28</v>
      </c>
      <c r="J37" s="10">
        <v>12</v>
      </c>
      <c r="K37">
        <v>48.1</v>
      </c>
      <c r="Q37">
        <v>0.41</v>
      </c>
      <c r="R37">
        <v>2.62</v>
      </c>
      <c r="U37" t="s">
        <v>94</v>
      </c>
      <c r="V37" t="s">
        <v>29</v>
      </c>
      <c r="W37" t="s">
        <v>54</v>
      </c>
    </row>
    <row r="38" spans="1:23" x14ac:dyDescent="0.25">
      <c r="A38" s="6" t="s">
        <v>27</v>
      </c>
      <c r="Q38">
        <v>8.8000000000000005E-3</v>
      </c>
      <c r="R38">
        <v>2.91</v>
      </c>
      <c r="U38" t="s">
        <v>93</v>
      </c>
      <c r="V38" t="s">
        <v>30</v>
      </c>
      <c r="W38" t="s">
        <v>52</v>
      </c>
    </row>
    <row r="39" spans="1:23" x14ac:dyDescent="0.25">
      <c r="A39" s="6" t="s">
        <v>27</v>
      </c>
      <c r="D39">
        <v>49</v>
      </c>
      <c r="E39">
        <v>1.36</v>
      </c>
      <c r="U39" t="s">
        <v>95</v>
      </c>
      <c r="V39" t="s">
        <v>65</v>
      </c>
      <c r="W39" t="s">
        <v>52</v>
      </c>
    </row>
    <row r="40" spans="1:23" x14ac:dyDescent="0.25">
      <c r="A40" s="6" t="s">
        <v>27</v>
      </c>
      <c r="J40" s="10">
        <v>19.3</v>
      </c>
      <c r="K40">
        <v>88</v>
      </c>
      <c r="U40" t="s">
        <v>96</v>
      </c>
      <c r="V40" t="s">
        <v>63</v>
      </c>
      <c r="W40" t="s">
        <v>52</v>
      </c>
    </row>
    <row r="41" spans="1:23" x14ac:dyDescent="0.25">
      <c r="A41" s="6" t="s">
        <v>28</v>
      </c>
      <c r="F41" s="10">
        <v>30.4</v>
      </c>
      <c r="G41">
        <v>152</v>
      </c>
      <c r="H41" s="10">
        <v>83.2</v>
      </c>
      <c r="I41">
        <v>20.8</v>
      </c>
      <c r="U41" t="s">
        <v>97</v>
      </c>
      <c r="V41" t="s">
        <v>26</v>
      </c>
      <c r="W41" t="s">
        <v>54</v>
      </c>
    </row>
    <row r="42" spans="1:23" x14ac:dyDescent="0.25">
      <c r="A42" s="6" t="s">
        <v>27</v>
      </c>
      <c r="F42" s="10">
        <v>31.6</v>
      </c>
      <c r="G42">
        <v>158</v>
      </c>
      <c r="H42" s="10">
        <v>68</v>
      </c>
      <c r="I42">
        <v>17.899999999999999</v>
      </c>
      <c r="U42" t="s">
        <v>97</v>
      </c>
      <c r="V42" t="s">
        <v>26</v>
      </c>
      <c r="W42" t="s">
        <v>54</v>
      </c>
    </row>
    <row r="43" spans="1:23" x14ac:dyDescent="0.25">
      <c r="A43" s="6" t="s">
        <v>27</v>
      </c>
      <c r="H43">
        <v>75</v>
      </c>
      <c r="I43" s="10">
        <v>15</v>
      </c>
      <c r="U43" t="s">
        <v>98</v>
      </c>
      <c r="V43" t="s">
        <v>63</v>
      </c>
      <c r="W43" t="s">
        <v>52</v>
      </c>
    </row>
    <row r="44" spans="1:23" x14ac:dyDescent="0.25">
      <c r="A44" s="6" t="s">
        <v>28</v>
      </c>
      <c r="F44" s="10">
        <v>30.4</v>
      </c>
      <c r="G44">
        <v>152</v>
      </c>
      <c r="U44" t="s">
        <v>99</v>
      </c>
      <c r="V44" t="s">
        <v>30</v>
      </c>
      <c r="W44" t="s">
        <v>52</v>
      </c>
    </row>
    <row r="45" spans="1:23" x14ac:dyDescent="0.25">
      <c r="A45" s="6" t="s">
        <v>27</v>
      </c>
      <c r="F45" s="10">
        <v>31.6</v>
      </c>
      <c r="G45">
        <v>158</v>
      </c>
      <c r="U45" t="s">
        <v>99</v>
      </c>
      <c r="V45" t="s">
        <v>30</v>
      </c>
      <c r="W45" t="s">
        <v>52</v>
      </c>
    </row>
    <row r="46" spans="1:23" x14ac:dyDescent="0.25">
      <c r="A46" s="6" t="s">
        <v>28</v>
      </c>
      <c r="B46" s="10">
        <v>221</v>
      </c>
      <c r="C46">
        <v>44.2</v>
      </c>
      <c r="D46" s="10">
        <v>66.3</v>
      </c>
      <c r="E46">
        <v>2.3199999999999998</v>
      </c>
      <c r="L46">
        <v>-0.219</v>
      </c>
      <c r="M46">
        <v>1.91</v>
      </c>
      <c r="N46">
        <v>8.19</v>
      </c>
      <c r="O46">
        <v>2.37</v>
      </c>
      <c r="P46">
        <v>10.56</v>
      </c>
      <c r="U46" t="s">
        <v>153</v>
      </c>
      <c r="V46" t="s">
        <v>26</v>
      </c>
      <c r="W46" t="s">
        <v>54</v>
      </c>
    </row>
    <row r="47" spans="1:23" x14ac:dyDescent="0.25">
      <c r="A47" s="6" t="s">
        <v>27</v>
      </c>
      <c r="B47" s="10">
        <v>214.45</v>
      </c>
      <c r="C47">
        <v>42.89</v>
      </c>
      <c r="D47" s="10">
        <v>64.3</v>
      </c>
      <c r="E47">
        <v>2.46</v>
      </c>
      <c r="L47">
        <v>-0.312</v>
      </c>
      <c r="M47">
        <v>1.86</v>
      </c>
      <c r="N47">
        <v>8.94</v>
      </c>
      <c r="O47">
        <v>2.52</v>
      </c>
      <c r="P47">
        <v>11.46</v>
      </c>
      <c r="U47" t="s">
        <v>153</v>
      </c>
      <c r="V47" t="s">
        <v>26</v>
      </c>
      <c r="W47" t="s">
        <v>54</v>
      </c>
    </row>
    <row r="48" spans="1:23" x14ac:dyDescent="0.25">
      <c r="A48" s="6" t="s">
        <v>28</v>
      </c>
      <c r="S48">
        <v>3.96E-3</v>
      </c>
      <c r="T48">
        <v>3.13</v>
      </c>
      <c r="U48" t="s">
        <v>154</v>
      </c>
      <c r="V48" t="s">
        <v>50</v>
      </c>
      <c r="W48" t="s">
        <v>53</v>
      </c>
    </row>
    <row r="49" spans="1:23" x14ac:dyDescent="0.25">
      <c r="A49" s="7" t="s">
        <v>3</v>
      </c>
      <c r="B49" s="10">
        <f>(C49+$T$60)/$S$60</f>
        <v>120.02345906163752</v>
      </c>
      <c r="C49">
        <v>26</v>
      </c>
      <c r="D49" s="10">
        <f>$Q$49*C49^$R$49</f>
        <v>11.05389882133348</v>
      </c>
      <c r="E49">
        <v>1.2</v>
      </c>
      <c r="F49">
        <v>16</v>
      </c>
      <c r="G49" s="10">
        <f>(F49+$T$60)/$S$60</f>
        <v>74.025298988040475</v>
      </c>
      <c r="H49">
        <f>(I49+$T$60)/$S$60</f>
        <v>120.02345906163752</v>
      </c>
      <c r="I49">
        <v>26</v>
      </c>
      <c r="J49">
        <v>13</v>
      </c>
      <c r="K49" s="10">
        <f>(J49+$T$60)/$S$60</f>
        <v>60.225850965961357</v>
      </c>
      <c r="Q49" s="4">
        <v>8.9999999999999998E-4</v>
      </c>
      <c r="R49" s="4">
        <v>2.89</v>
      </c>
      <c r="S49" s="4"/>
      <c r="T49" s="4"/>
      <c r="U49" t="s">
        <v>68</v>
      </c>
      <c r="V49" t="s">
        <v>4</v>
      </c>
      <c r="W49" t="s">
        <v>51</v>
      </c>
    </row>
    <row r="50" spans="1:23" x14ac:dyDescent="0.25">
      <c r="A50" s="7" t="s">
        <v>3</v>
      </c>
      <c r="B50" s="10">
        <f>(C50+$T$60)/$S$60</f>
        <v>116.34360625574976</v>
      </c>
      <c r="C50">
        <v>25.2</v>
      </c>
      <c r="D50" s="10">
        <f>$Q$49*C50^$R$49</f>
        <v>10.09927207547989</v>
      </c>
      <c r="E50">
        <v>0.64</v>
      </c>
      <c r="M50">
        <v>2.5</v>
      </c>
      <c r="N50">
        <v>3.7</v>
      </c>
      <c r="O50">
        <v>0.6</v>
      </c>
      <c r="P50">
        <v>4.3</v>
      </c>
      <c r="Q50" s="4"/>
      <c r="R50" s="4"/>
      <c r="S50" s="4"/>
      <c r="T50" s="4"/>
      <c r="U50" t="s">
        <v>100</v>
      </c>
      <c r="V50" t="s">
        <v>33</v>
      </c>
      <c r="W50" t="s">
        <v>54</v>
      </c>
    </row>
    <row r="51" spans="1:23" x14ac:dyDescent="0.25">
      <c r="A51" s="7" t="s">
        <v>3</v>
      </c>
      <c r="B51" s="10">
        <f>(C51+$T$60)/$S$60</f>
        <v>137.31876724931001</v>
      </c>
      <c r="C51">
        <v>29.76</v>
      </c>
      <c r="D51" s="10">
        <f>$Q$49*C51^$R$49</f>
        <v>16.332086375297109</v>
      </c>
      <c r="E51">
        <v>2.5</v>
      </c>
      <c r="F51">
        <v>12.25</v>
      </c>
      <c r="G51" s="10">
        <f>(F51+$T$60)/$S$60</f>
        <v>56.77598896044158</v>
      </c>
      <c r="L51">
        <v>-0.31</v>
      </c>
      <c r="M51">
        <v>1.85</v>
      </c>
      <c r="Q51" s="4"/>
      <c r="R51" s="4"/>
      <c r="S51" s="4"/>
      <c r="T51" s="4"/>
      <c r="U51" t="s">
        <v>101</v>
      </c>
      <c r="V51" t="s">
        <v>50</v>
      </c>
      <c r="W51" t="s">
        <v>53</v>
      </c>
    </row>
    <row r="52" spans="1:23" x14ac:dyDescent="0.25">
      <c r="A52" s="7" t="s">
        <v>3</v>
      </c>
      <c r="P52">
        <v>1.24</v>
      </c>
      <c r="Q52" s="4"/>
      <c r="R52" s="4"/>
      <c r="S52" s="4"/>
      <c r="T52" s="4"/>
      <c r="U52" t="s">
        <v>102</v>
      </c>
      <c r="V52" t="s">
        <v>31</v>
      </c>
      <c r="W52" t="s">
        <v>52</v>
      </c>
    </row>
    <row r="53" spans="1:23" x14ac:dyDescent="0.25">
      <c r="A53" s="7" t="s">
        <v>3</v>
      </c>
      <c r="B53" s="10">
        <f>(C53+$T$60)/$S$60</f>
        <v>131.93698252069916</v>
      </c>
      <c r="C53">
        <v>28.59</v>
      </c>
      <c r="D53" s="10">
        <f>$Q$49*C53^$R$49</f>
        <v>14.544587825539679</v>
      </c>
      <c r="E53">
        <v>2.5499999999999998</v>
      </c>
      <c r="F53">
        <v>15.65</v>
      </c>
      <c r="G53" s="10">
        <f>(F53+$T$60)/$S$60</f>
        <v>72.415363385464573</v>
      </c>
      <c r="J53">
        <v>17.25</v>
      </c>
      <c r="K53" s="10">
        <f>(J53+$T$60)/$S$60</f>
        <v>79.775068997240112</v>
      </c>
      <c r="M53">
        <v>1.7</v>
      </c>
      <c r="Q53" s="4"/>
      <c r="R53" s="4"/>
      <c r="S53" s="4"/>
      <c r="T53" s="4"/>
      <c r="U53" t="s">
        <v>103</v>
      </c>
      <c r="V53" t="s">
        <v>29</v>
      </c>
      <c r="W53" t="s">
        <v>54</v>
      </c>
    </row>
    <row r="54" spans="1:23" x14ac:dyDescent="0.25">
      <c r="A54" s="7" t="s">
        <v>3</v>
      </c>
      <c r="B54" s="10">
        <f>(C54+$T$60)/$S$60</f>
        <v>143.02253909843606</v>
      </c>
      <c r="C54">
        <v>31</v>
      </c>
      <c r="D54" s="10">
        <f>$Q$49*C54^$R$49</f>
        <v>18.377134953994844</v>
      </c>
      <c r="E54">
        <v>1.1200000000000001</v>
      </c>
      <c r="Q54" s="4"/>
      <c r="R54" s="4"/>
      <c r="S54" s="4"/>
      <c r="T54" s="4"/>
      <c r="U54" t="s">
        <v>104</v>
      </c>
      <c r="V54" t="s">
        <v>14</v>
      </c>
      <c r="W54" t="s">
        <v>54</v>
      </c>
    </row>
    <row r="55" spans="1:23" x14ac:dyDescent="0.25">
      <c r="A55" s="7" t="s">
        <v>3</v>
      </c>
      <c r="N55">
        <v>2.9</v>
      </c>
      <c r="O55">
        <v>3.38</v>
      </c>
      <c r="P55">
        <v>6.28</v>
      </c>
      <c r="Q55" s="4"/>
      <c r="R55" s="4"/>
      <c r="S55" s="4"/>
      <c r="T55" s="4"/>
      <c r="U55" t="s">
        <v>105</v>
      </c>
      <c r="V55" t="s">
        <v>10</v>
      </c>
      <c r="W55" t="s">
        <v>53</v>
      </c>
    </row>
    <row r="56" spans="1:23" x14ac:dyDescent="0.25">
      <c r="A56" s="7" t="s">
        <v>3</v>
      </c>
      <c r="F56">
        <v>18.2</v>
      </c>
      <c r="G56" s="10">
        <f>(F56+$T$60)/$S$60</f>
        <v>84.144894204231818</v>
      </c>
      <c r="H56">
        <v>58.53</v>
      </c>
      <c r="I56">
        <v>11.7</v>
      </c>
      <c r="J56">
        <v>11.64</v>
      </c>
      <c r="K56" s="10">
        <f>(J56+$T$60)/$S$60</f>
        <v>53.970101195952161</v>
      </c>
      <c r="O56">
        <v>0.6</v>
      </c>
      <c r="Q56" s="4"/>
      <c r="R56" s="4"/>
      <c r="S56" s="4"/>
      <c r="T56" s="4"/>
      <c r="U56" t="s">
        <v>106</v>
      </c>
      <c r="V56" t="s">
        <v>29</v>
      </c>
      <c r="W56" t="s">
        <v>54</v>
      </c>
    </row>
    <row r="57" spans="1:23" x14ac:dyDescent="0.25">
      <c r="A57" s="7" t="s">
        <v>3</v>
      </c>
      <c r="B57" s="10">
        <f t="shared" ref="B57:B64" si="4">(C57+$T$60)/$S$60</f>
        <v>136.1228150873965</v>
      </c>
      <c r="C57">
        <v>29.5</v>
      </c>
      <c r="D57" s="10">
        <f>$Q$49*C57^$R$49</f>
        <v>15.923118810784098</v>
      </c>
      <c r="E57">
        <v>2.85</v>
      </c>
      <c r="L57">
        <v>-0.14000000000000001</v>
      </c>
      <c r="M57">
        <v>1.64</v>
      </c>
      <c r="U57" t="s">
        <v>107</v>
      </c>
      <c r="V57" t="s">
        <v>31</v>
      </c>
      <c r="W57" t="s">
        <v>52</v>
      </c>
    </row>
    <row r="58" spans="1:23" x14ac:dyDescent="0.25">
      <c r="A58" s="7" t="s">
        <v>3</v>
      </c>
      <c r="B58" s="10">
        <f t="shared" si="4"/>
        <v>131.06301747930081</v>
      </c>
      <c r="C58">
        <v>28.4</v>
      </c>
      <c r="D58" s="10">
        <f>$Q$49*C58^$R$49</f>
        <v>14.26699510300222</v>
      </c>
      <c r="E58">
        <v>2.73</v>
      </c>
      <c r="F58">
        <v>17.7</v>
      </c>
      <c r="G58" s="10">
        <v>88.5</v>
      </c>
      <c r="M58">
        <v>1.39</v>
      </c>
      <c r="U58" t="s">
        <v>108</v>
      </c>
      <c r="V58" t="s">
        <v>29</v>
      </c>
      <c r="W58" t="s">
        <v>54</v>
      </c>
    </row>
    <row r="59" spans="1:23" x14ac:dyDescent="0.25">
      <c r="A59" s="7" t="s">
        <v>3</v>
      </c>
      <c r="B59" s="10">
        <f t="shared" si="4"/>
        <v>136.1228150873965</v>
      </c>
      <c r="C59">
        <v>29.5</v>
      </c>
      <c r="D59" s="10">
        <f>$Q$49*C59^$R$49</f>
        <v>15.923118810784098</v>
      </c>
      <c r="E59">
        <v>2.83</v>
      </c>
      <c r="M59">
        <v>1.64</v>
      </c>
      <c r="U59" t="s">
        <v>109</v>
      </c>
      <c r="V59" t="s">
        <v>30</v>
      </c>
      <c r="W59" t="s">
        <v>52</v>
      </c>
    </row>
    <row r="60" spans="1:23" x14ac:dyDescent="0.25">
      <c r="A60" s="7" t="s">
        <v>3</v>
      </c>
      <c r="B60" s="10">
        <f t="shared" si="4"/>
        <v>121.40340386384544</v>
      </c>
      <c r="C60">
        <v>26.3</v>
      </c>
      <c r="D60" s="10">
        <f>$Q$49*C60^$R$49</f>
        <v>11.426536798076192</v>
      </c>
      <c r="E60">
        <v>1.75</v>
      </c>
      <c r="F60" s="2">
        <v>18.600000000000001</v>
      </c>
      <c r="G60" s="10">
        <f>(F60+$T$60)/$S$60</f>
        <v>85.98482060717572</v>
      </c>
      <c r="J60">
        <v>17.5</v>
      </c>
      <c r="K60" s="10">
        <f>(J60+$T$60)/$S$60</f>
        <v>80.925022999080028</v>
      </c>
      <c r="M60">
        <v>1.34</v>
      </c>
      <c r="N60">
        <v>6.8</v>
      </c>
      <c r="O60">
        <v>1.98</v>
      </c>
      <c r="P60">
        <f>SUM(N60+O60)</f>
        <v>8.7799999999999994</v>
      </c>
      <c r="Q60">
        <v>6.8999999999999999E-3</v>
      </c>
      <c r="R60">
        <v>2.91</v>
      </c>
      <c r="S60">
        <v>0.21740000000000001</v>
      </c>
      <c r="T60">
        <v>9.3100000000000002E-2</v>
      </c>
      <c r="U60" t="s">
        <v>110</v>
      </c>
      <c r="V60" t="s">
        <v>5</v>
      </c>
      <c r="W60" t="s">
        <v>53</v>
      </c>
    </row>
    <row r="61" spans="1:23" x14ac:dyDescent="0.25">
      <c r="A61" s="7" t="s">
        <v>3</v>
      </c>
      <c r="B61" s="10">
        <f t="shared" si="4"/>
        <v>65.745630174793007</v>
      </c>
      <c r="C61">
        <v>14.2</v>
      </c>
      <c r="D61" s="10">
        <v>14.5</v>
      </c>
      <c r="E61">
        <v>0.56999999999999995</v>
      </c>
      <c r="U61" t="s">
        <v>111</v>
      </c>
      <c r="V61" t="s">
        <v>9</v>
      </c>
      <c r="W61" t="s">
        <v>52</v>
      </c>
    </row>
    <row r="62" spans="1:23" x14ac:dyDescent="0.25">
      <c r="A62" s="7" t="s">
        <v>3</v>
      </c>
      <c r="B62" s="10">
        <f t="shared" si="4"/>
        <v>70.805427782888685</v>
      </c>
      <c r="C62">
        <v>15.3</v>
      </c>
      <c r="D62" s="10">
        <v>13.2</v>
      </c>
      <c r="E62">
        <v>0.35</v>
      </c>
      <c r="F62">
        <v>15.65</v>
      </c>
      <c r="G62" s="10">
        <v>78.25</v>
      </c>
      <c r="J62">
        <v>16.8</v>
      </c>
      <c r="K62" s="10">
        <v>84.2</v>
      </c>
      <c r="M62">
        <v>1.71</v>
      </c>
      <c r="U62" t="s">
        <v>112</v>
      </c>
      <c r="V62" t="s">
        <v>23</v>
      </c>
      <c r="W62" t="s">
        <v>54</v>
      </c>
    </row>
    <row r="63" spans="1:23" x14ac:dyDescent="0.25">
      <c r="A63" s="7" t="s">
        <v>3</v>
      </c>
      <c r="B63" s="10">
        <f t="shared" si="4"/>
        <v>62.52575896964121</v>
      </c>
      <c r="C63">
        <v>13.5</v>
      </c>
      <c r="D63" s="10">
        <v>9.23</v>
      </c>
      <c r="E63">
        <v>0.57999999999999996</v>
      </c>
      <c r="U63" t="s">
        <v>113</v>
      </c>
      <c r="V63" t="s">
        <v>9</v>
      </c>
      <c r="W63" t="s">
        <v>52</v>
      </c>
    </row>
    <row r="64" spans="1:23" x14ac:dyDescent="0.25">
      <c r="A64" s="7" t="s">
        <v>3</v>
      </c>
      <c r="B64" s="10">
        <f t="shared" si="4"/>
        <v>74.025298988040475</v>
      </c>
      <c r="C64">
        <v>16</v>
      </c>
      <c r="D64" s="10">
        <v>15.09</v>
      </c>
      <c r="E64">
        <v>0.22</v>
      </c>
      <c r="U64" t="s">
        <v>114</v>
      </c>
      <c r="V64" t="s">
        <v>24</v>
      </c>
      <c r="W64" t="s">
        <v>52</v>
      </c>
    </row>
    <row r="65" spans="1:23" x14ac:dyDescent="0.25">
      <c r="A65" s="7" t="s">
        <v>3</v>
      </c>
      <c r="F65" s="10">
        <v>13</v>
      </c>
      <c r="G65">
        <v>65</v>
      </c>
      <c r="U65" t="s">
        <v>115</v>
      </c>
      <c r="V65" t="s">
        <v>29</v>
      </c>
      <c r="W65" t="s">
        <v>54</v>
      </c>
    </row>
    <row r="66" spans="1:23" x14ac:dyDescent="0.25">
      <c r="A66" s="7" t="s">
        <v>3</v>
      </c>
      <c r="F66">
        <v>13</v>
      </c>
      <c r="G66" s="10">
        <f t="shared" ref="G66:G73" si="5">(F66+$T$60)/$S$60</f>
        <v>60.225850965961357</v>
      </c>
      <c r="U66" t="s">
        <v>116</v>
      </c>
      <c r="V66" t="s">
        <v>26</v>
      </c>
      <c r="W66" t="s">
        <v>54</v>
      </c>
    </row>
    <row r="67" spans="1:23" x14ac:dyDescent="0.25">
      <c r="A67" s="7" t="s">
        <v>3</v>
      </c>
      <c r="F67">
        <v>16</v>
      </c>
      <c r="G67" s="10">
        <f t="shared" si="5"/>
        <v>74.025298988040475</v>
      </c>
      <c r="U67" t="s">
        <v>77</v>
      </c>
      <c r="V67" t="s">
        <v>22</v>
      </c>
      <c r="W67" t="s">
        <v>51</v>
      </c>
    </row>
    <row r="68" spans="1:23" x14ac:dyDescent="0.25">
      <c r="A68" s="7" t="s">
        <v>3</v>
      </c>
      <c r="F68">
        <v>12.6</v>
      </c>
      <c r="G68" s="10">
        <f t="shared" si="5"/>
        <v>58.385924563017475</v>
      </c>
      <c r="U68" t="s">
        <v>117</v>
      </c>
      <c r="V68" t="s">
        <v>6</v>
      </c>
      <c r="W68" t="s">
        <v>54</v>
      </c>
    </row>
    <row r="69" spans="1:23" x14ac:dyDescent="0.25">
      <c r="A69" s="7" t="s">
        <v>3</v>
      </c>
      <c r="B69" s="10">
        <v>160</v>
      </c>
      <c r="C69">
        <v>35.4</v>
      </c>
      <c r="D69" s="10">
        <v>16</v>
      </c>
      <c r="E69">
        <v>2.7</v>
      </c>
      <c r="F69">
        <v>12.55</v>
      </c>
      <c r="G69" s="10">
        <v>62.5</v>
      </c>
      <c r="M69">
        <v>1.75</v>
      </c>
      <c r="Q69">
        <v>1.1999999999999999E-3</v>
      </c>
      <c r="R69">
        <v>2.72</v>
      </c>
      <c r="U69" t="s">
        <v>118</v>
      </c>
      <c r="V69" t="s">
        <v>67</v>
      </c>
      <c r="W69" t="s">
        <v>53</v>
      </c>
    </row>
    <row r="70" spans="1:23" x14ac:dyDescent="0.25">
      <c r="A70" s="7" t="s">
        <v>3</v>
      </c>
      <c r="B70" s="10">
        <f>(C70+$T$60)/$S$60</f>
        <v>130.60303587856487</v>
      </c>
      <c r="C70">
        <v>28.3</v>
      </c>
      <c r="D70" s="10">
        <f>$Q$49*C70^$R$49</f>
        <v>14.122295939525104</v>
      </c>
      <c r="E70">
        <v>0.28000000000000003</v>
      </c>
      <c r="F70" s="2">
        <v>16.8</v>
      </c>
      <c r="G70" s="10">
        <f t="shared" si="5"/>
        <v>77.705151793928238</v>
      </c>
      <c r="U70" t="s">
        <v>119</v>
      </c>
      <c r="V70" t="s">
        <v>7</v>
      </c>
      <c r="W70" t="s">
        <v>52</v>
      </c>
    </row>
    <row r="71" spans="1:23" x14ac:dyDescent="0.25">
      <c r="A71" s="7" t="s">
        <v>3</v>
      </c>
      <c r="B71" s="10">
        <f>(C71+$T$60)/$S$60</f>
        <v>114.96366145354185</v>
      </c>
      <c r="C71">
        <v>24.9</v>
      </c>
      <c r="D71" s="10">
        <f>$Q$49*C71^$R$49</f>
        <v>9.7557041736540224</v>
      </c>
      <c r="F71">
        <v>15.5</v>
      </c>
      <c r="G71" s="10">
        <f t="shared" si="5"/>
        <v>71.725390984360615</v>
      </c>
      <c r="L71">
        <v>-0.23</v>
      </c>
      <c r="U71" t="s">
        <v>120</v>
      </c>
      <c r="V71" t="s">
        <v>25</v>
      </c>
      <c r="W71" t="s">
        <v>52</v>
      </c>
    </row>
    <row r="72" spans="1:23" x14ac:dyDescent="0.25">
      <c r="A72" s="7" t="s">
        <v>3</v>
      </c>
      <c r="B72" s="10">
        <f>(C72+$T$60)/$S$60</f>
        <v>149.00229990800366</v>
      </c>
      <c r="C72">
        <v>32.299999999999997</v>
      </c>
      <c r="D72" s="10">
        <f>$Q$49*C72^$R$49</f>
        <v>20.693683333273512</v>
      </c>
      <c r="E72">
        <v>2.7</v>
      </c>
      <c r="F72">
        <v>15.1</v>
      </c>
      <c r="G72" s="10">
        <f t="shared" si="5"/>
        <v>69.885464581416741</v>
      </c>
      <c r="L72">
        <v>-0.24</v>
      </c>
      <c r="M72">
        <v>1.73</v>
      </c>
      <c r="U72" t="s">
        <v>121</v>
      </c>
      <c r="V72" t="s">
        <v>26</v>
      </c>
      <c r="W72" t="s">
        <v>54</v>
      </c>
    </row>
    <row r="73" spans="1:23" x14ac:dyDescent="0.25">
      <c r="A73" s="7" t="s">
        <v>3</v>
      </c>
      <c r="F73" s="2">
        <v>14.5</v>
      </c>
      <c r="G73" s="10">
        <f t="shared" si="5"/>
        <v>67.125574977000909</v>
      </c>
      <c r="H73">
        <f>(I73+$T$60)/$S$60</f>
        <v>51.026218951241944</v>
      </c>
      <c r="I73">
        <v>11</v>
      </c>
      <c r="J73">
        <v>17.5</v>
      </c>
      <c r="K73" s="10">
        <f>(J73+$T$60)/$S$60</f>
        <v>80.925022999080028</v>
      </c>
      <c r="U73" t="s">
        <v>122</v>
      </c>
      <c r="V73" t="s">
        <v>158</v>
      </c>
      <c r="W73" t="s">
        <v>53</v>
      </c>
    </row>
    <row r="74" spans="1:23" x14ac:dyDescent="0.25">
      <c r="A74" s="7" t="s">
        <v>3</v>
      </c>
      <c r="B74" s="10">
        <f>(C74+$T$60)/$S$60</f>
        <v>155.90202391904322</v>
      </c>
      <c r="C74">
        <v>33.799999999999997</v>
      </c>
      <c r="D74" s="10">
        <f>$Q$49*C74^$R$49</f>
        <v>23.594554043963278</v>
      </c>
      <c r="E74">
        <v>1.1599999999999999</v>
      </c>
      <c r="H74">
        <f>(I74+$T$60)/$S$60</f>
        <v>60.225850965961357</v>
      </c>
      <c r="I74">
        <v>13</v>
      </c>
      <c r="U74" t="s">
        <v>105</v>
      </c>
      <c r="V74" t="s">
        <v>10</v>
      </c>
      <c r="W74" t="s">
        <v>53</v>
      </c>
    </row>
    <row r="75" spans="1:23" x14ac:dyDescent="0.25">
      <c r="A75" s="7" t="s">
        <v>3</v>
      </c>
      <c r="F75">
        <v>14.2</v>
      </c>
      <c r="G75" s="10">
        <f>(F75+$T$60)/$S$60</f>
        <v>65.745630174793007</v>
      </c>
      <c r="U75" t="s">
        <v>123</v>
      </c>
      <c r="V75" t="s">
        <v>159</v>
      </c>
      <c r="W75" t="s">
        <v>53</v>
      </c>
    </row>
    <row r="76" spans="1:23" x14ac:dyDescent="0.25">
      <c r="A76" s="7" t="s">
        <v>3</v>
      </c>
      <c r="B76" s="10">
        <f>(C76+$T$60)/$S$60</f>
        <v>146.24241030358783</v>
      </c>
      <c r="C76">
        <v>31.7</v>
      </c>
      <c r="D76" s="10">
        <f>$Q$49*C76^$R$49</f>
        <v>19.602153117026258</v>
      </c>
      <c r="E76">
        <v>1.1599999999999999</v>
      </c>
      <c r="M76">
        <v>2.5</v>
      </c>
      <c r="U76" t="s">
        <v>124</v>
      </c>
      <c r="V76" t="s">
        <v>160</v>
      </c>
      <c r="W76" t="s">
        <v>52</v>
      </c>
    </row>
    <row r="77" spans="1:23" x14ac:dyDescent="0.25">
      <c r="A77" s="7" t="s">
        <v>3</v>
      </c>
      <c r="B77" s="10">
        <f>(C77+$T$60)/$S$60</f>
        <v>125.54323827046917</v>
      </c>
      <c r="C77">
        <v>27.2</v>
      </c>
      <c r="D77" s="10">
        <f>$Q$49*C77^$R$49</f>
        <v>12.593505671728078</v>
      </c>
      <c r="E77">
        <v>1.2</v>
      </c>
      <c r="U77" t="s">
        <v>125</v>
      </c>
      <c r="V77" t="s">
        <v>49</v>
      </c>
    </row>
    <row r="78" spans="1:23" x14ac:dyDescent="0.25">
      <c r="A78" s="7" t="s">
        <v>3</v>
      </c>
      <c r="H78">
        <f>(I78+$T$60)/$S$60</f>
        <v>60.225850965961357</v>
      </c>
      <c r="I78">
        <v>13</v>
      </c>
      <c r="U78" t="s">
        <v>126</v>
      </c>
      <c r="V78" t="s">
        <v>5</v>
      </c>
      <c r="W78" t="s">
        <v>53</v>
      </c>
    </row>
    <row r="79" spans="1:23" x14ac:dyDescent="0.25">
      <c r="A79" s="7" t="s">
        <v>3</v>
      </c>
      <c r="B79" s="10">
        <f>(C79+$T$60)/$S$60</f>
        <v>130.14305427782887</v>
      </c>
      <c r="C79">
        <v>28.2</v>
      </c>
      <c r="D79" s="10">
        <f>$Q$49*C79^$R$49</f>
        <v>13.978559921858178</v>
      </c>
      <c r="E79">
        <v>1.79</v>
      </c>
      <c r="F79">
        <v>17</v>
      </c>
      <c r="G79" s="10">
        <f>(F79+$T$60)/$S$60</f>
        <v>78.625114995400182</v>
      </c>
      <c r="M79">
        <v>2.65</v>
      </c>
      <c r="Q79">
        <v>1.9999999999999999E-6</v>
      </c>
      <c r="R79">
        <v>3.17</v>
      </c>
      <c r="U79" t="s">
        <v>127</v>
      </c>
      <c r="V79" t="s">
        <v>32</v>
      </c>
      <c r="W79" t="s">
        <v>54</v>
      </c>
    </row>
    <row r="80" spans="1:23" x14ac:dyDescent="0.25">
      <c r="A80" s="7" t="s">
        <v>3</v>
      </c>
      <c r="F80">
        <v>19.8</v>
      </c>
      <c r="G80" s="10">
        <f>(F80+$T$60)/$S$60</f>
        <v>91.504599816007357</v>
      </c>
      <c r="U80" t="s">
        <v>80</v>
      </c>
      <c r="V80" t="s">
        <v>161</v>
      </c>
      <c r="W80" t="s">
        <v>53</v>
      </c>
    </row>
    <row r="81" spans="1:23" x14ac:dyDescent="0.25">
      <c r="A81" s="7" t="s">
        <v>3</v>
      </c>
      <c r="F81">
        <v>12.5</v>
      </c>
      <c r="G81" s="10">
        <f>(F81+$T$60)/$S$60</f>
        <v>57.925942962281503</v>
      </c>
      <c r="U81" t="s">
        <v>81</v>
      </c>
      <c r="V81" t="s">
        <v>12</v>
      </c>
      <c r="W81" t="s">
        <v>53</v>
      </c>
    </row>
    <row r="82" spans="1:23" x14ac:dyDescent="0.25">
      <c r="A82" s="7" t="s">
        <v>3</v>
      </c>
      <c r="B82" s="10">
        <f>(C82+$T$60)/$S$60</f>
        <v>150.38224471021158</v>
      </c>
      <c r="C82">
        <v>32.6</v>
      </c>
      <c r="D82" s="10">
        <f>$Q$49*C82^$R$49</f>
        <v>21.254034129839322</v>
      </c>
      <c r="E82">
        <v>0.87</v>
      </c>
      <c r="F82">
        <v>13.8</v>
      </c>
      <c r="G82" s="10">
        <f>(F82+$T$60)/$S$60</f>
        <v>63.905703771849126</v>
      </c>
      <c r="H82">
        <f>(I82+$T$60)/$S$60</f>
        <v>41.826586936522538</v>
      </c>
      <c r="I82">
        <v>9</v>
      </c>
      <c r="M82">
        <v>2.5</v>
      </c>
      <c r="U82" t="s">
        <v>128</v>
      </c>
      <c r="V82" t="s">
        <v>13</v>
      </c>
      <c r="W82" t="s">
        <v>53</v>
      </c>
    </row>
    <row r="83" spans="1:23" x14ac:dyDescent="0.25">
      <c r="A83" s="7" t="s">
        <v>3</v>
      </c>
      <c r="B83" s="10">
        <f>(C83+$T$60)/$S$60</f>
        <v>147.62235510579575</v>
      </c>
      <c r="C83">
        <v>32</v>
      </c>
      <c r="D83" s="10">
        <f>$Q$49*C83^$R$49</f>
        <v>20.143083209997613</v>
      </c>
      <c r="E83">
        <v>1.6</v>
      </c>
      <c r="F83">
        <v>14.3</v>
      </c>
      <c r="G83" s="10">
        <f>(F83+$T$60)/$S$60</f>
        <v>66.205611775528979</v>
      </c>
      <c r="M83">
        <v>2.85</v>
      </c>
      <c r="P83">
        <v>8.59</v>
      </c>
      <c r="Q83">
        <v>1.5E-3</v>
      </c>
      <c r="R83">
        <v>2.65</v>
      </c>
      <c r="U83" t="s">
        <v>129</v>
      </c>
      <c r="V83" t="s">
        <v>50</v>
      </c>
      <c r="W83" t="s">
        <v>53</v>
      </c>
    </row>
    <row r="84" spans="1:23" x14ac:dyDescent="0.25">
      <c r="A84" s="7" t="s">
        <v>3</v>
      </c>
      <c r="H84">
        <f>(I84+$T$60)/$S$60</f>
        <v>85.524839006439734</v>
      </c>
      <c r="I84">
        <v>18.5</v>
      </c>
      <c r="U84" t="s">
        <v>130</v>
      </c>
      <c r="V84" t="s">
        <v>14</v>
      </c>
      <c r="W84" t="s">
        <v>54</v>
      </c>
    </row>
    <row r="85" spans="1:23" x14ac:dyDescent="0.25">
      <c r="A85" s="7" t="s">
        <v>3</v>
      </c>
      <c r="F85">
        <v>13.5</v>
      </c>
      <c r="G85" s="10">
        <f>(F85+$T$60)/$S$60</f>
        <v>62.52575896964121</v>
      </c>
      <c r="U85" t="s">
        <v>123</v>
      </c>
      <c r="V85" t="s">
        <v>45</v>
      </c>
      <c r="W85" t="s">
        <v>53</v>
      </c>
    </row>
    <row r="86" spans="1:23" x14ac:dyDescent="0.25">
      <c r="A86" s="7" t="s">
        <v>3</v>
      </c>
      <c r="F86">
        <v>13.6</v>
      </c>
      <c r="G86" s="10">
        <f>(F86+$T$60)/$S$60</f>
        <v>62.985740570377182</v>
      </c>
      <c r="U86" t="s">
        <v>79</v>
      </c>
      <c r="V86" t="s">
        <v>17</v>
      </c>
      <c r="W86" t="s">
        <v>53</v>
      </c>
    </row>
    <row r="87" spans="1:23" x14ac:dyDescent="0.25">
      <c r="A87" s="7" t="s">
        <v>3</v>
      </c>
      <c r="F87">
        <v>12.23</v>
      </c>
      <c r="G87" s="10">
        <f>(F87+$T$60)/$S$60</f>
        <v>56.683992640294385</v>
      </c>
      <c r="U87" t="s">
        <v>157</v>
      </c>
      <c r="V87" t="s">
        <v>6</v>
      </c>
      <c r="W87" t="s">
        <v>54</v>
      </c>
    </row>
    <row r="88" spans="1:23" x14ac:dyDescent="0.25">
      <c r="A88" s="8" t="s">
        <v>2</v>
      </c>
      <c r="F88">
        <v>15.8</v>
      </c>
      <c r="G88" s="10">
        <f>(C90-$S$90)/$T$90</f>
        <v>162.58318800139517</v>
      </c>
      <c r="Q88">
        <v>1.1299999999999999E-2</v>
      </c>
      <c r="R88">
        <v>2.2400000000000002</v>
      </c>
      <c r="U88" t="s">
        <v>131</v>
      </c>
      <c r="V88" t="s">
        <v>8</v>
      </c>
      <c r="W88" t="s">
        <v>54</v>
      </c>
    </row>
    <row r="89" spans="1:23" x14ac:dyDescent="0.25">
      <c r="A89" s="8" t="s">
        <v>2</v>
      </c>
      <c r="F89">
        <v>22</v>
      </c>
      <c r="G89" s="10">
        <v>110</v>
      </c>
      <c r="U89" t="s">
        <v>132</v>
      </c>
      <c r="V89" t="s">
        <v>5</v>
      </c>
      <c r="W89" t="s">
        <v>53</v>
      </c>
    </row>
    <row r="90" spans="1:23" x14ac:dyDescent="0.25">
      <c r="A90" s="8" t="s">
        <v>2</v>
      </c>
      <c r="B90" s="10">
        <f>(C90-$S$90)/$T$90</f>
        <v>162.58318800139517</v>
      </c>
      <c r="C90">
        <v>47</v>
      </c>
      <c r="D90">
        <v>62.4</v>
      </c>
      <c r="E90">
        <v>1.1000000000000001</v>
      </c>
      <c r="M90">
        <v>1.63</v>
      </c>
      <c r="N90">
        <v>2.15</v>
      </c>
      <c r="O90">
        <v>1.6</v>
      </c>
      <c r="P90">
        <v>3.75</v>
      </c>
      <c r="S90">
        <v>0.38740000000000002</v>
      </c>
      <c r="T90">
        <v>0.28670000000000001</v>
      </c>
      <c r="U90" t="s">
        <v>101</v>
      </c>
      <c r="V90" t="s">
        <v>5</v>
      </c>
      <c r="W90" t="s">
        <v>53</v>
      </c>
    </row>
    <row r="91" spans="1:23" x14ac:dyDescent="0.25">
      <c r="A91" s="8" t="s">
        <v>2</v>
      </c>
      <c r="F91">
        <v>28.4</v>
      </c>
      <c r="G91" s="10">
        <v>142</v>
      </c>
      <c r="U91" t="s">
        <v>133</v>
      </c>
      <c r="V91" t="s">
        <v>5</v>
      </c>
      <c r="W91" t="s">
        <v>53</v>
      </c>
    </row>
    <row r="92" spans="1:23" x14ac:dyDescent="0.25">
      <c r="A92" s="8" t="s">
        <v>2</v>
      </c>
      <c r="B92" s="10">
        <f t="shared" ref="B92:B99" si="6">(C92-$S$90)/$T$90</f>
        <v>122.12277642134634</v>
      </c>
      <c r="C92">
        <v>35.4</v>
      </c>
      <c r="D92">
        <v>25.9</v>
      </c>
      <c r="E92">
        <v>1.3</v>
      </c>
      <c r="F92">
        <v>27</v>
      </c>
      <c r="G92" s="10">
        <f t="shared" ref="G92:G109" si="7">F92*100/20</f>
        <v>135</v>
      </c>
      <c r="H92" s="10">
        <v>90</v>
      </c>
      <c r="I92">
        <v>31</v>
      </c>
      <c r="J92">
        <v>13</v>
      </c>
      <c r="K92">
        <v>65</v>
      </c>
      <c r="Q92" s="4">
        <v>6.9999999999999999E-4</v>
      </c>
      <c r="R92" s="4">
        <v>3.01</v>
      </c>
      <c r="S92" s="4"/>
      <c r="T92" s="4"/>
      <c r="U92" t="s">
        <v>68</v>
      </c>
      <c r="V92" t="s">
        <v>4</v>
      </c>
      <c r="W92" t="s">
        <v>51</v>
      </c>
    </row>
    <row r="93" spans="1:23" x14ac:dyDescent="0.25">
      <c r="A93" s="8" t="s">
        <v>2</v>
      </c>
      <c r="F93">
        <v>17.3</v>
      </c>
      <c r="G93" s="10">
        <f t="shared" si="7"/>
        <v>86.5</v>
      </c>
      <c r="U93" t="s">
        <v>79</v>
      </c>
      <c r="V93" t="s">
        <v>17</v>
      </c>
      <c r="W93" t="s">
        <v>53</v>
      </c>
    </row>
    <row r="94" spans="1:23" x14ac:dyDescent="0.25">
      <c r="A94" s="8" t="s">
        <v>2</v>
      </c>
      <c r="F94">
        <v>26.4</v>
      </c>
      <c r="G94" s="10">
        <v>120</v>
      </c>
      <c r="U94" t="s">
        <v>77</v>
      </c>
      <c r="V94" t="s">
        <v>22</v>
      </c>
      <c r="W94" t="s">
        <v>51</v>
      </c>
    </row>
    <row r="95" spans="1:23" x14ac:dyDescent="0.25">
      <c r="A95" s="8" t="s">
        <v>2</v>
      </c>
      <c r="F95">
        <v>17.7</v>
      </c>
      <c r="G95" s="10">
        <f t="shared" si="7"/>
        <v>88.5</v>
      </c>
      <c r="U95" t="s">
        <v>134</v>
      </c>
      <c r="V95" t="s">
        <v>162</v>
      </c>
      <c r="W95" t="s">
        <v>53</v>
      </c>
    </row>
    <row r="96" spans="1:23" x14ac:dyDescent="0.25">
      <c r="A96" s="8" t="s">
        <v>2</v>
      </c>
      <c r="J96">
        <v>17</v>
      </c>
      <c r="K96">
        <v>85</v>
      </c>
      <c r="U96" t="s">
        <v>135</v>
      </c>
      <c r="V96" t="s">
        <v>20</v>
      </c>
      <c r="W96" t="s">
        <v>53</v>
      </c>
    </row>
    <row r="97" spans="1:23" x14ac:dyDescent="0.25">
      <c r="A97" s="8" t="s">
        <v>2</v>
      </c>
      <c r="H97">
        <v>72</v>
      </c>
      <c r="I97">
        <v>16</v>
      </c>
      <c r="J97">
        <v>20</v>
      </c>
      <c r="K97">
        <v>100</v>
      </c>
      <c r="U97" t="s">
        <v>134</v>
      </c>
      <c r="V97" t="s">
        <v>10</v>
      </c>
      <c r="W97" t="s">
        <v>53</v>
      </c>
    </row>
    <row r="98" spans="1:23" x14ac:dyDescent="0.25">
      <c r="A98" s="8" t="s">
        <v>2</v>
      </c>
      <c r="B98" s="10">
        <v>118.6</v>
      </c>
      <c r="C98">
        <v>35.630000000000003</v>
      </c>
      <c r="D98" s="10">
        <v>41.3</v>
      </c>
      <c r="E98">
        <v>2.21</v>
      </c>
      <c r="F98">
        <v>18.89</v>
      </c>
      <c r="G98" s="10">
        <v>94</v>
      </c>
      <c r="L98">
        <v>-0.23</v>
      </c>
      <c r="M98">
        <v>2.1</v>
      </c>
      <c r="U98" t="s">
        <v>73</v>
      </c>
      <c r="V98" t="s">
        <v>50</v>
      </c>
      <c r="W98" t="s">
        <v>53</v>
      </c>
    </row>
    <row r="99" spans="1:23" x14ac:dyDescent="0.25">
      <c r="A99" s="8" t="s">
        <v>2</v>
      </c>
      <c r="B99" s="10">
        <f t="shared" si="6"/>
        <v>154.56086501569587</v>
      </c>
      <c r="C99">
        <v>44.7</v>
      </c>
      <c r="D99" s="10">
        <v>56</v>
      </c>
      <c r="E99">
        <v>1.36</v>
      </c>
      <c r="M99">
        <v>2.5</v>
      </c>
      <c r="U99" t="s">
        <v>136</v>
      </c>
      <c r="V99" t="s">
        <v>18</v>
      </c>
      <c r="W99" t="s">
        <v>53</v>
      </c>
    </row>
    <row r="100" spans="1:23" x14ac:dyDescent="0.25">
      <c r="A100" s="8" t="s">
        <v>2</v>
      </c>
      <c r="B100" s="10">
        <f>(C100-$S$90)/$T$90</f>
        <v>151.42169515172654</v>
      </c>
      <c r="C100">
        <v>43.8</v>
      </c>
      <c r="D100" s="11">
        <v>53.7</v>
      </c>
      <c r="E100">
        <v>1.43</v>
      </c>
      <c r="F100">
        <v>17.3</v>
      </c>
      <c r="G100" s="10">
        <f>F100*100/20</f>
        <v>86.5</v>
      </c>
      <c r="M100">
        <v>2.5</v>
      </c>
      <c r="U100" t="s">
        <v>136</v>
      </c>
      <c r="V100" t="s">
        <v>19</v>
      </c>
      <c r="W100" t="s">
        <v>53</v>
      </c>
    </row>
    <row r="101" spans="1:23" x14ac:dyDescent="0.25">
      <c r="A101" s="8" t="s">
        <v>2</v>
      </c>
      <c r="B101" s="10">
        <f>(C101-$S$90)/$T$90</f>
        <v>158.39762818276944</v>
      </c>
      <c r="C101">
        <v>45.8</v>
      </c>
      <c r="D101" s="10">
        <v>59.3</v>
      </c>
      <c r="E101">
        <v>1.36</v>
      </c>
      <c r="M101">
        <v>2.5</v>
      </c>
      <c r="U101" t="s">
        <v>136</v>
      </c>
      <c r="V101" t="s">
        <v>162</v>
      </c>
      <c r="W101" t="s">
        <v>53</v>
      </c>
    </row>
    <row r="102" spans="1:23" x14ac:dyDescent="0.25">
      <c r="A102" s="8" t="s">
        <v>2</v>
      </c>
      <c r="B102" s="10">
        <f>(C102-$S$90)/$T$90</f>
        <v>160.14161144053017</v>
      </c>
      <c r="C102">
        <v>46.3</v>
      </c>
      <c r="D102" s="10">
        <v>60.8</v>
      </c>
      <c r="E102">
        <v>1.52</v>
      </c>
      <c r="M102">
        <v>2.5</v>
      </c>
      <c r="U102" t="s">
        <v>137</v>
      </c>
      <c r="V102" t="s">
        <v>21</v>
      </c>
      <c r="W102" t="s">
        <v>53</v>
      </c>
    </row>
    <row r="103" spans="1:23" x14ac:dyDescent="0.25">
      <c r="A103" s="8" t="s">
        <v>2</v>
      </c>
      <c r="B103" s="10">
        <f t="shared" ref="B103:B111" si="8">(C103-$S$90)/$T$90</f>
        <v>168.86152772933377</v>
      </c>
      <c r="C103">
        <v>48.8</v>
      </c>
      <c r="D103" s="10">
        <v>68.400000000000006</v>
      </c>
      <c r="E103">
        <v>1.5</v>
      </c>
      <c r="F103" s="2">
        <v>17.3</v>
      </c>
      <c r="G103" s="10">
        <f>F103*100/20</f>
        <v>86.5</v>
      </c>
      <c r="M103">
        <v>2.5</v>
      </c>
      <c r="U103" t="s">
        <v>80</v>
      </c>
      <c r="V103" t="s">
        <v>161</v>
      </c>
      <c r="W103" t="s">
        <v>53</v>
      </c>
    </row>
    <row r="104" spans="1:23" x14ac:dyDescent="0.25">
      <c r="A104" s="8" t="s">
        <v>2</v>
      </c>
      <c r="B104" s="10">
        <f t="shared" si="8"/>
        <v>166.07115451691664</v>
      </c>
      <c r="C104">
        <v>48</v>
      </c>
      <c r="D104" s="10">
        <v>64</v>
      </c>
      <c r="E104">
        <v>2</v>
      </c>
      <c r="L104">
        <v>0.89</v>
      </c>
      <c r="M104">
        <v>2.1800000000000002</v>
      </c>
      <c r="U104" t="s">
        <v>138</v>
      </c>
      <c r="V104" t="s">
        <v>29</v>
      </c>
      <c r="W104" t="s">
        <v>54</v>
      </c>
    </row>
    <row r="105" spans="1:23" x14ac:dyDescent="0.25">
      <c r="A105" s="8" t="s">
        <v>2</v>
      </c>
      <c r="F105" s="2">
        <v>15.8</v>
      </c>
      <c r="G105" s="10">
        <f t="shared" si="7"/>
        <v>79</v>
      </c>
      <c r="U105" t="s">
        <v>139</v>
      </c>
      <c r="V105" t="s">
        <v>8</v>
      </c>
      <c r="W105" t="s">
        <v>54</v>
      </c>
    </row>
    <row r="106" spans="1:23" x14ac:dyDescent="0.25">
      <c r="A106" s="8" t="s">
        <v>2</v>
      </c>
      <c r="F106" s="2">
        <v>17.7</v>
      </c>
      <c r="G106" s="10">
        <f t="shared" si="7"/>
        <v>88.5</v>
      </c>
      <c r="U106" t="s">
        <v>134</v>
      </c>
      <c r="V106" t="s">
        <v>16</v>
      </c>
      <c r="W106" t="s">
        <v>53</v>
      </c>
    </row>
    <row r="107" spans="1:23" x14ac:dyDescent="0.25">
      <c r="A107" s="8" t="s">
        <v>2</v>
      </c>
      <c r="F107" s="2">
        <v>17.7</v>
      </c>
      <c r="G107" s="10">
        <f t="shared" si="7"/>
        <v>88.5</v>
      </c>
      <c r="U107" t="s">
        <v>134</v>
      </c>
      <c r="V107" t="s">
        <v>162</v>
      </c>
      <c r="W107" t="s">
        <v>53</v>
      </c>
    </row>
    <row r="108" spans="1:23" x14ac:dyDescent="0.25">
      <c r="A108" s="8" t="s">
        <v>2</v>
      </c>
      <c r="B108" s="10">
        <f t="shared" si="8"/>
        <v>152.46808510638297</v>
      </c>
      <c r="C108">
        <v>44.1</v>
      </c>
      <c r="D108">
        <v>54.25</v>
      </c>
      <c r="E108">
        <v>2.15</v>
      </c>
      <c r="H108" s="10">
        <v>68</v>
      </c>
      <c r="I108">
        <v>15</v>
      </c>
      <c r="J108">
        <v>22</v>
      </c>
      <c r="K108">
        <v>110</v>
      </c>
      <c r="L108">
        <v>-0.28999999999999998</v>
      </c>
      <c r="M108">
        <v>2.15</v>
      </c>
      <c r="U108" t="s">
        <v>82</v>
      </c>
      <c r="V108" t="s">
        <v>23</v>
      </c>
      <c r="W108" t="s">
        <v>54</v>
      </c>
    </row>
    <row r="109" spans="1:23" x14ac:dyDescent="0.25">
      <c r="A109" s="8" t="s">
        <v>2</v>
      </c>
      <c r="F109">
        <v>20.3</v>
      </c>
      <c r="G109" s="10">
        <f t="shared" si="7"/>
        <v>101.5</v>
      </c>
      <c r="U109" t="s">
        <v>80</v>
      </c>
      <c r="V109" t="s">
        <v>161</v>
      </c>
      <c r="W109" t="s">
        <v>53</v>
      </c>
    </row>
    <row r="110" spans="1:23" x14ac:dyDescent="0.25">
      <c r="A110" s="8" t="s">
        <v>2</v>
      </c>
      <c r="F110" s="2">
        <v>15.2</v>
      </c>
      <c r="G110" s="10">
        <v>77.599999999999994</v>
      </c>
      <c r="U110" t="s">
        <v>140</v>
      </c>
      <c r="V110" t="s">
        <v>31</v>
      </c>
      <c r="W110" t="s">
        <v>52</v>
      </c>
    </row>
    <row r="111" spans="1:23" x14ac:dyDescent="0.25">
      <c r="A111" s="8" t="s">
        <v>2</v>
      </c>
      <c r="B111">
        <f t="shared" si="8"/>
        <v>211.4147192186955</v>
      </c>
      <c r="C111" s="10">
        <v>61</v>
      </c>
      <c r="D111">
        <v>113</v>
      </c>
      <c r="E111">
        <v>1.0900000000000001</v>
      </c>
      <c r="L111">
        <v>-4.65E-2</v>
      </c>
      <c r="O111">
        <v>2.04</v>
      </c>
      <c r="U111" t="s">
        <v>141</v>
      </c>
      <c r="V111" t="s">
        <v>40</v>
      </c>
    </row>
    <row r="112" spans="1:23" x14ac:dyDescent="0.25">
      <c r="A112" s="8" t="s">
        <v>2</v>
      </c>
      <c r="B112">
        <f>(C112-$S$90)/$T$90</f>
        <v>222.57621206836416</v>
      </c>
      <c r="C112" s="10">
        <v>64.2</v>
      </c>
      <c r="D112">
        <v>126</v>
      </c>
      <c r="E112">
        <v>1.5</v>
      </c>
      <c r="H112">
        <v>60</v>
      </c>
      <c r="I112" s="10">
        <v>13.2</v>
      </c>
      <c r="L112">
        <v>-2.0500000000000001E-2</v>
      </c>
      <c r="N112">
        <v>7.16</v>
      </c>
      <c r="O112">
        <v>2.04</v>
      </c>
      <c r="P112">
        <v>9.1999999999999993</v>
      </c>
      <c r="U112" t="s">
        <v>142</v>
      </c>
      <c r="V112" t="s">
        <v>40</v>
      </c>
    </row>
    <row r="113" spans="1:23" x14ac:dyDescent="0.25">
      <c r="A113" s="8" t="s">
        <v>2</v>
      </c>
      <c r="B113">
        <f t="shared" ref="B113:B120" si="9">(C113-$S$90)/$T$90</f>
        <v>125.95953958841994</v>
      </c>
      <c r="C113" s="10">
        <v>36.5</v>
      </c>
      <c r="D113">
        <v>35.700000000000003</v>
      </c>
      <c r="E113">
        <v>1.8</v>
      </c>
      <c r="U113" t="s">
        <v>143</v>
      </c>
      <c r="V113" t="s">
        <v>40</v>
      </c>
    </row>
    <row r="114" spans="1:23" x14ac:dyDescent="0.25">
      <c r="A114" s="8" t="s">
        <v>2</v>
      </c>
      <c r="B114" s="10">
        <v>201.5</v>
      </c>
      <c r="C114">
        <v>40.299999999999997</v>
      </c>
      <c r="D114" s="10">
        <v>80.400000000000006</v>
      </c>
      <c r="E114">
        <v>2.2000000000000002</v>
      </c>
      <c r="F114">
        <v>25.7</v>
      </c>
      <c r="G114" s="10">
        <v>116.8</v>
      </c>
      <c r="M114">
        <v>2</v>
      </c>
      <c r="U114" t="s">
        <v>144</v>
      </c>
      <c r="V114" t="s">
        <v>66</v>
      </c>
      <c r="W114" t="s">
        <v>54</v>
      </c>
    </row>
    <row r="115" spans="1:23" x14ac:dyDescent="0.25">
      <c r="A115" s="8" t="s">
        <v>2</v>
      </c>
      <c r="B115">
        <f t="shared" si="9"/>
        <v>229.90094175095916</v>
      </c>
      <c r="C115">
        <v>66.3</v>
      </c>
      <c r="D115">
        <v>110.5</v>
      </c>
      <c r="E115">
        <v>1.62</v>
      </c>
      <c r="M115">
        <v>2.83</v>
      </c>
      <c r="N115">
        <v>4.09</v>
      </c>
      <c r="O115">
        <v>1.92</v>
      </c>
      <c r="P115">
        <v>6</v>
      </c>
      <c r="Q115">
        <v>7.7000000000000002E-3</v>
      </c>
      <c r="R115">
        <v>2.99</v>
      </c>
      <c r="U115" t="s">
        <v>145</v>
      </c>
      <c r="V115" t="s">
        <v>32</v>
      </c>
      <c r="W115" t="s">
        <v>54</v>
      </c>
    </row>
    <row r="116" spans="1:23" x14ac:dyDescent="0.25">
      <c r="A116" s="8" t="s">
        <v>2</v>
      </c>
      <c r="E116">
        <v>1.56</v>
      </c>
      <c r="J116">
        <v>16</v>
      </c>
      <c r="K116">
        <v>80</v>
      </c>
      <c r="O116">
        <v>0.65</v>
      </c>
      <c r="U116" t="s">
        <v>146</v>
      </c>
      <c r="V116" t="s">
        <v>41</v>
      </c>
    </row>
    <row r="117" spans="1:23" x14ac:dyDescent="0.25">
      <c r="A117" s="8" t="s">
        <v>2</v>
      </c>
      <c r="E117">
        <v>1.56</v>
      </c>
      <c r="J117">
        <v>20.399999999999999</v>
      </c>
      <c r="K117">
        <v>102</v>
      </c>
      <c r="O117">
        <v>0.65</v>
      </c>
      <c r="U117" t="s">
        <v>146</v>
      </c>
      <c r="V117" t="s">
        <v>41</v>
      </c>
    </row>
    <row r="118" spans="1:23" x14ac:dyDescent="0.25">
      <c r="A118" s="8" t="s">
        <v>2</v>
      </c>
      <c r="N118">
        <v>4.1399999999999997</v>
      </c>
      <c r="O118">
        <v>3.6</v>
      </c>
      <c r="P118">
        <v>7.74</v>
      </c>
      <c r="U118" t="s">
        <v>147</v>
      </c>
      <c r="V118" t="s">
        <v>40</v>
      </c>
    </row>
    <row r="119" spans="1:23" x14ac:dyDescent="0.25">
      <c r="A119" s="8" t="s">
        <v>2</v>
      </c>
      <c r="Q119">
        <v>2.0000000000000002E-5</v>
      </c>
      <c r="R119">
        <v>2.96</v>
      </c>
      <c r="U119" t="s">
        <v>148</v>
      </c>
      <c r="V119" t="s">
        <v>48</v>
      </c>
      <c r="W119" t="s">
        <v>53</v>
      </c>
    </row>
    <row r="120" spans="1:23" x14ac:dyDescent="0.25">
      <c r="A120" s="8" t="s">
        <v>2</v>
      </c>
      <c r="B120">
        <f t="shared" si="9"/>
        <v>167.22218346703872</v>
      </c>
      <c r="C120" s="10">
        <v>48.33</v>
      </c>
      <c r="D120">
        <v>64.400000000000006</v>
      </c>
      <c r="E120">
        <v>1.61</v>
      </c>
      <c r="F120">
        <v>26.5</v>
      </c>
      <c r="G120" s="10">
        <v>132.5</v>
      </c>
      <c r="L120">
        <v>2.7E-2</v>
      </c>
      <c r="N120">
        <v>3.18</v>
      </c>
      <c r="O120">
        <v>2.31</v>
      </c>
      <c r="P120">
        <v>5.49</v>
      </c>
      <c r="U120" t="s">
        <v>149</v>
      </c>
      <c r="V120" t="s">
        <v>46</v>
      </c>
    </row>
    <row r="121" spans="1:23" x14ac:dyDescent="0.25">
      <c r="A121" s="8" t="s">
        <v>2</v>
      </c>
      <c r="F121">
        <v>34.799999999999997</v>
      </c>
      <c r="G121">
        <v>162</v>
      </c>
      <c r="U121" t="s">
        <v>150</v>
      </c>
      <c r="V121" t="s">
        <v>151</v>
      </c>
      <c r="W121" t="s">
        <v>53</v>
      </c>
    </row>
    <row r="122" spans="1:23" x14ac:dyDescent="0.25">
      <c r="A122" s="8" t="s">
        <v>2</v>
      </c>
      <c r="F122" s="10">
        <v>30.02</v>
      </c>
      <c r="G122">
        <v>151</v>
      </c>
      <c r="H122">
        <v>125</v>
      </c>
      <c r="I122" s="10">
        <v>27</v>
      </c>
      <c r="U122" t="s">
        <v>152</v>
      </c>
      <c r="V122" t="s">
        <v>30</v>
      </c>
      <c r="W122" t="s">
        <v>52</v>
      </c>
    </row>
  </sheetData>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7850-D099-4A75-816E-3674FA6E8D19}">
  <dimension ref="A1:A139"/>
  <sheetViews>
    <sheetView topLeftCell="A5" workbookViewId="0">
      <selection activeCell="B1" sqref="B1"/>
    </sheetView>
  </sheetViews>
  <sheetFormatPr defaultRowHeight="15" x14ac:dyDescent="0.25"/>
  <cols>
    <col min="1" max="1" width="20.7109375" bestFit="1" customWidth="1"/>
  </cols>
  <sheetData>
    <row r="1" spans="1:1" ht="31.5" x14ac:dyDescent="0.25">
      <c r="A1" s="13" t="s">
        <v>168</v>
      </c>
    </row>
    <row r="2" spans="1:1" ht="225" x14ac:dyDescent="0.25">
      <c r="A2" s="15" t="s">
        <v>169</v>
      </c>
    </row>
    <row r="3" spans="1:1" ht="189" x14ac:dyDescent="0.25">
      <c r="A3" s="14" t="s">
        <v>170</v>
      </c>
    </row>
    <row r="4" spans="1:1" ht="255" x14ac:dyDescent="0.25">
      <c r="A4" s="15" t="s">
        <v>171</v>
      </c>
    </row>
    <row r="5" spans="1:1" ht="189" x14ac:dyDescent="0.25">
      <c r="A5" s="14" t="s">
        <v>172</v>
      </c>
    </row>
    <row r="6" spans="1:1" ht="270" x14ac:dyDescent="0.25">
      <c r="A6" s="15" t="s">
        <v>173</v>
      </c>
    </row>
    <row r="7" spans="1:1" ht="220.5" x14ac:dyDescent="0.25">
      <c r="A7" s="14" t="s">
        <v>174</v>
      </c>
    </row>
    <row r="8" spans="1:1" ht="330" x14ac:dyDescent="0.25">
      <c r="A8" s="15" t="s">
        <v>175</v>
      </c>
    </row>
    <row r="9" spans="1:1" ht="195" x14ac:dyDescent="0.25">
      <c r="A9" s="15" t="s">
        <v>176</v>
      </c>
    </row>
    <row r="10" spans="1:1" ht="165" x14ac:dyDescent="0.25">
      <c r="A10" s="15" t="s">
        <v>177</v>
      </c>
    </row>
    <row r="11" spans="1:1" ht="120" x14ac:dyDescent="0.25">
      <c r="A11" s="15" t="s">
        <v>178</v>
      </c>
    </row>
    <row r="12" spans="1:1" ht="225" x14ac:dyDescent="0.25">
      <c r="A12" s="15" t="s">
        <v>179</v>
      </c>
    </row>
    <row r="13" spans="1:1" ht="204.75" x14ac:dyDescent="0.25">
      <c r="A13" s="14" t="s">
        <v>180</v>
      </c>
    </row>
    <row r="14" spans="1:1" ht="255" x14ac:dyDescent="0.25">
      <c r="A14" s="15" t="s">
        <v>181</v>
      </c>
    </row>
    <row r="15" spans="1:1" ht="225" x14ac:dyDescent="0.25">
      <c r="A15" s="15" t="s">
        <v>182</v>
      </c>
    </row>
    <row r="16" spans="1:1" ht="195" x14ac:dyDescent="0.25">
      <c r="A16" s="15" t="s">
        <v>183</v>
      </c>
    </row>
    <row r="17" spans="1:1" ht="236.25" x14ac:dyDescent="0.25">
      <c r="A17" s="14" t="s">
        <v>184</v>
      </c>
    </row>
    <row r="18" spans="1:1" ht="189" x14ac:dyDescent="0.25">
      <c r="A18" s="14" t="s">
        <v>185</v>
      </c>
    </row>
    <row r="19" spans="1:1" ht="15.75" x14ac:dyDescent="0.25">
      <c r="A19" s="14"/>
    </row>
    <row r="20" spans="1:1" ht="270" x14ac:dyDescent="0.25">
      <c r="A20" s="15" t="s">
        <v>186</v>
      </c>
    </row>
    <row r="21" spans="1:1" ht="285" x14ac:dyDescent="0.25">
      <c r="A21" s="15" t="s">
        <v>187</v>
      </c>
    </row>
    <row r="22" spans="1:1" ht="270" x14ac:dyDescent="0.25">
      <c r="A22" s="15" t="s">
        <v>188</v>
      </c>
    </row>
    <row r="23" spans="1:1" ht="189" x14ac:dyDescent="0.25">
      <c r="A23" s="16" t="s">
        <v>189</v>
      </c>
    </row>
    <row r="24" spans="1:1" ht="204.75" x14ac:dyDescent="0.25">
      <c r="A24" s="14" t="s">
        <v>190</v>
      </c>
    </row>
    <row r="25" spans="1:1" ht="204.75" x14ac:dyDescent="0.25">
      <c r="A25" s="16" t="s">
        <v>191</v>
      </c>
    </row>
    <row r="26" spans="1:1" ht="225" x14ac:dyDescent="0.25">
      <c r="A26" s="15" t="s">
        <v>192</v>
      </c>
    </row>
    <row r="27" spans="1:1" ht="270" x14ac:dyDescent="0.25">
      <c r="A27" s="15" t="s">
        <v>193</v>
      </c>
    </row>
    <row r="28" spans="1:1" ht="270" x14ac:dyDescent="0.25">
      <c r="A28" s="15" t="s">
        <v>194</v>
      </c>
    </row>
    <row r="29" spans="1:1" ht="220.5" x14ac:dyDescent="0.25">
      <c r="A29" s="16" t="s">
        <v>195</v>
      </c>
    </row>
    <row r="30" spans="1:1" ht="173.25" x14ac:dyDescent="0.25">
      <c r="A30" s="16" t="s">
        <v>196</v>
      </c>
    </row>
    <row r="31" spans="1:1" ht="94.5" x14ac:dyDescent="0.25">
      <c r="A31" s="14" t="s">
        <v>197</v>
      </c>
    </row>
    <row r="32" spans="1:1" ht="189" x14ac:dyDescent="0.25">
      <c r="A32" s="14" t="s">
        <v>198</v>
      </c>
    </row>
    <row r="33" spans="1:1" ht="141.75" x14ac:dyDescent="0.25">
      <c r="A33" s="16" t="s">
        <v>199</v>
      </c>
    </row>
    <row r="34" spans="1:1" ht="141.75" x14ac:dyDescent="0.25">
      <c r="A34" s="14" t="s">
        <v>200</v>
      </c>
    </row>
    <row r="35" spans="1:1" ht="285" x14ac:dyDescent="0.25">
      <c r="A35" s="15" t="s">
        <v>201</v>
      </c>
    </row>
    <row r="36" spans="1:1" ht="180" x14ac:dyDescent="0.25">
      <c r="A36" s="15" t="s">
        <v>202</v>
      </c>
    </row>
    <row r="37" spans="1:1" ht="220.5" x14ac:dyDescent="0.25">
      <c r="A37" s="14" t="s">
        <v>203</v>
      </c>
    </row>
    <row r="38" spans="1:1" ht="285" x14ac:dyDescent="0.25">
      <c r="A38" s="15" t="s">
        <v>204</v>
      </c>
    </row>
    <row r="39" spans="1:1" ht="255" x14ac:dyDescent="0.25">
      <c r="A39" s="15" t="s">
        <v>205</v>
      </c>
    </row>
    <row r="40" spans="1:1" ht="210" x14ac:dyDescent="0.25">
      <c r="A40" s="15" t="s">
        <v>206</v>
      </c>
    </row>
    <row r="41" spans="1:1" ht="255" x14ac:dyDescent="0.25">
      <c r="A41" s="15" t="s">
        <v>207</v>
      </c>
    </row>
    <row r="42" spans="1:1" ht="141.75" x14ac:dyDescent="0.25">
      <c r="A42" s="14" t="s">
        <v>208</v>
      </c>
    </row>
    <row r="43" spans="1:1" ht="225" x14ac:dyDescent="0.25">
      <c r="A43" s="15" t="s">
        <v>209</v>
      </c>
    </row>
    <row r="44" spans="1:1" ht="236.25" x14ac:dyDescent="0.25">
      <c r="A44" s="14" t="s">
        <v>210</v>
      </c>
    </row>
    <row r="45" spans="1:1" ht="204.75" x14ac:dyDescent="0.25">
      <c r="A45" s="14" t="s">
        <v>211</v>
      </c>
    </row>
    <row r="46" spans="1:1" ht="210" x14ac:dyDescent="0.25">
      <c r="A46" s="15" t="s">
        <v>212</v>
      </c>
    </row>
    <row r="47" spans="1:1" ht="267.75" x14ac:dyDescent="0.25">
      <c r="A47" s="14" t="s">
        <v>213</v>
      </c>
    </row>
    <row r="48" spans="1:1" ht="270" x14ac:dyDescent="0.25">
      <c r="A48" s="15" t="s">
        <v>214</v>
      </c>
    </row>
    <row r="49" spans="1:1" ht="173.25" x14ac:dyDescent="0.25">
      <c r="A49" s="14" t="s">
        <v>215</v>
      </c>
    </row>
    <row r="50" spans="1:1" ht="94.5" x14ac:dyDescent="0.25">
      <c r="A50" s="14" t="s">
        <v>216</v>
      </c>
    </row>
    <row r="51" spans="1:1" ht="126" x14ac:dyDescent="0.25">
      <c r="A51" s="14" t="s">
        <v>217</v>
      </c>
    </row>
    <row r="52" spans="1:1" ht="195" x14ac:dyDescent="0.25">
      <c r="A52" s="15" t="s">
        <v>218</v>
      </c>
    </row>
    <row r="53" spans="1:1" ht="15.75" x14ac:dyDescent="0.25">
      <c r="A53" s="14"/>
    </row>
    <row r="54" spans="1:1" ht="126" x14ac:dyDescent="0.25">
      <c r="A54" s="14" t="s">
        <v>219</v>
      </c>
    </row>
    <row r="55" spans="1:1" ht="157.5" x14ac:dyDescent="0.25">
      <c r="A55" s="14" t="s">
        <v>220</v>
      </c>
    </row>
    <row r="56" spans="1:1" ht="157.5" x14ac:dyDescent="0.25">
      <c r="A56" s="14" t="s">
        <v>221</v>
      </c>
    </row>
    <row r="57" spans="1:1" ht="285" x14ac:dyDescent="0.25">
      <c r="A57" s="15" t="s">
        <v>222</v>
      </c>
    </row>
    <row r="58" spans="1:1" ht="285" x14ac:dyDescent="0.25">
      <c r="A58" s="15" t="s">
        <v>223</v>
      </c>
    </row>
    <row r="59" spans="1:1" ht="210" x14ac:dyDescent="0.25">
      <c r="A59" s="15" t="s">
        <v>224</v>
      </c>
    </row>
    <row r="60" spans="1:1" ht="255" x14ac:dyDescent="0.25">
      <c r="A60" s="15" t="s">
        <v>225</v>
      </c>
    </row>
    <row r="61" spans="1:1" ht="409.5" x14ac:dyDescent="0.25">
      <c r="A61" s="14" t="s">
        <v>226</v>
      </c>
    </row>
    <row r="62" spans="1:1" ht="15.75" x14ac:dyDescent="0.25">
      <c r="A62" s="17"/>
    </row>
    <row r="63" spans="1:1" ht="236.25" x14ac:dyDescent="0.25">
      <c r="A63" s="14" t="s">
        <v>227</v>
      </c>
    </row>
    <row r="64" spans="1:1" ht="240" x14ac:dyDescent="0.25">
      <c r="A64" s="15" t="s">
        <v>228</v>
      </c>
    </row>
    <row r="65" spans="1:1" ht="180" x14ac:dyDescent="0.25">
      <c r="A65" s="15" t="s">
        <v>229</v>
      </c>
    </row>
    <row r="66" spans="1:1" ht="141.75" x14ac:dyDescent="0.25">
      <c r="A66" s="14" t="s">
        <v>230</v>
      </c>
    </row>
    <row r="67" spans="1:1" ht="283.5" x14ac:dyDescent="0.25">
      <c r="A67" s="14" t="s">
        <v>231</v>
      </c>
    </row>
    <row r="68" spans="1:1" ht="157.5" x14ac:dyDescent="0.25">
      <c r="A68" s="14" t="s">
        <v>232</v>
      </c>
    </row>
    <row r="69" spans="1:1" ht="180" x14ac:dyDescent="0.25">
      <c r="A69" s="15" t="s">
        <v>233</v>
      </c>
    </row>
    <row r="70" spans="1:1" ht="270" x14ac:dyDescent="0.25">
      <c r="A70" s="15" t="s">
        <v>234</v>
      </c>
    </row>
    <row r="71" spans="1:1" ht="180" x14ac:dyDescent="0.25">
      <c r="A71" s="15" t="s">
        <v>235</v>
      </c>
    </row>
    <row r="72" spans="1:1" ht="180" x14ac:dyDescent="0.25">
      <c r="A72" s="15" t="s">
        <v>235</v>
      </c>
    </row>
    <row r="73" spans="1:1" ht="165" x14ac:dyDescent="0.25">
      <c r="A73" s="15" t="s">
        <v>236</v>
      </c>
    </row>
    <row r="74" spans="1:1" ht="255" x14ac:dyDescent="0.25">
      <c r="A74" s="15" t="s">
        <v>237</v>
      </c>
    </row>
    <row r="75" spans="1:1" ht="252" x14ac:dyDescent="0.25">
      <c r="A75" s="14" t="s">
        <v>238</v>
      </c>
    </row>
    <row r="76" spans="1:1" ht="141.75" x14ac:dyDescent="0.25">
      <c r="A76" s="14" t="s">
        <v>239</v>
      </c>
    </row>
    <row r="77" spans="1:1" ht="270" x14ac:dyDescent="0.25">
      <c r="A77" s="15" t="s">
        <v>240</v>
      </c>
    </row>
    <row r="78" spans="1:1" ht="252" x14ac:dyDescent="0.25">
      <c r="A78" s="14" t="s">
        <v>241</v>
      </c>
    </row>
    <row r="79" spans="1:1" ht="135" x14ac:dyDescent="0.25">
      <c r="A79" s="15" t="s">
        <v>242</v>
      </c>
    </row>
    <row r="80" spans="1:1" ht="270" x14ac:dyDescent="0.25">
      <c r="A80" s="15" t="s">
        <v>243</v>
      </c>
    </row>
    <row r="81" spans="1:1" ht="240" x14ac:dyDescent="0.25">
      <c r="A81" s="15" t="s">
        <v>244</v>
      </c>
    </row>
    <row r="82" spans="1:1" ht="225" x14ac:dyDescent="0.25">
      <c r="A82" s="15" t="s">
        <v>245</v>
      </c>
    </row>
    <row r="83" spans="1:1" ht="94.5" x14ac:dyDescent="0.25">
      <c r="A83" s="14" t="s">
        <v>246</v>
      </c>
    </row>
    <row r="84" spans="1:1" ht="110.25" x14ac:dyDescent="0.25">
      <c r="A84" s="14" t="s">
        <v>247</v>
      </c>
    </row>
    <row r="85" spans="1:1" ht="141.75" x14ac:dyDescent="0.25">
      <c r="A85" s="14" t="s">
        <v>248</v>
      </c>
    </row>
    <row r="86" spans="1:1" ht="240" x14ac:dyDescent="0.25">
      <c r="A86" s="15" t="s">
        <v>249</v>
      </c>
    </row>
    <row r="87" spans="1:1" ht="15.75" x14ac:dyDescent="0.25">
      <c r="A87" s="14"/>
    </row>
    <row r="88" spans="1:1" ht="270" x14ac:dyDescent="0.25">
      <c r="A88" s="15" t="s">
        <v>250</v>
      </c>
    </row>
    <row r="89" spans="1:1" ht="210" x14ac:dyDescent="0.25">
      <c r="A89" s="15" t="s">
        <v>251</v>
      </c>
    </row>
    <row r="90" spans="1:1" ht="210" x14ac:dyDescent="0.25">
      <c r="A90" s="15" t="s">
        <v>252</v>
      </c>
    </row>
    <row r="91" spans="1:1" ht="270" x14ac:dyDescent="0.25">
      <c r="A91" s="15" t="s">
        <v>253</v>
      </c>
    </row>
    <row r="92" spans="1:1" ht="195" x14ac:dyDescent="0.25">
      <c r="A92" s="15" t="s">
        <v>254</v>
      </c>
    </row>
    <row r="93" spans="1:1" ht="255" x14ac:dyDescent="0.25">
      <c r="A93" s="15" t="s">
        <v>255</v>
      </c>
    </row>
    <row r="94" spans="1:1" ht="240" x14ac:dyDescent="0.25">
      <c r="A94" s="15" t="s">
        <v>256</v>
      </c>
    </row>
    <row r="95" spans="1:1" ht="283.5" x14ac:dyDescent="0.25">
      <c r="A95" s="14" t="s">
        <v>257</v>
      </c>
    </row>
    <row r="96" spans="1:1" ht="126" x14ac:dyDescent="0.25">
      <c r="A96" s="14" t="s">
        <v>258</v>
      </c>
    </row>
    <row r="97" spans="1:1" ht="210" x14ac:dyDescent="0.25">
      <c r="A97" s="15" t="s">
        <v>259</v>
      </c>
    </row>
    <row r="98" spans="1:1" ht="285" x14ac:dyDescent="0.25">
      <c r="A98" s="15" t="s">
        <v>260</v>
      </c>
    </row>
    <row r="99" spans="1:1" ht="210" x14ac:dyDescent="0.25">
      <c r="A99" s="15" t="s">
        <v>261</v>
      </c>
    </row>
    <row r="100" spans="1:1" ht="189" x14ac:dyDescent="0.25">
      <c r="A100" s="14" t="s">
        <v>262</v>
      </c>
    </row>
    <row r="101" spans="1:1" ht="267.75" x14ac:dyDescent="0.25">
      <c r="A101" s="14" t="s">
        <v>263</v>
      </c>
    </row>
    <row r="102" spans="1:1" ht="330" x14ac:dyDescent="0.25">
      <c r="A102" s="15" t="s">
        <v>264</v>
      </c>
    </row>
    <row r="103" spans="1:1" ht="252" x14ac:dyDescent="0.25">
      <c r="A103" s="14" t="s">
        <v>265</v>
      </c>
    </row>
    <row r="104" spans="1:1" ht="299.25" x14ac:dyDescent="0.25">
      <c r="A104" s="14" t="s">
        <v>266</v>
      </c>
    </row>
    <row r="105" spans="1:1" ht="157.5" x14ac:dyDescent="0.25">
      <c r="A105" s="14" t="s">
        <v>267</v>
      </c>
    </row>
    <row r="106" spans="1:1" ht="189" x14ac:dyDescent="0.25">
      <c r="A106" s="14" t="s">
        <v>268</v>
      </c>
    </row>
    <row r="107" spans="1:1" ht="204.75" x14ac:dyDescent="0.25">
      <c r="A107" s="14" t="s">
        <v>269</v>
      </c>
    </row>
    <row r="108" spans="1:1" ht="126" x14ac:dyDescent="0.25">
      <c r="A108" s="14" t="s">
        <v>270</v>
      </c>
    </row>
    <row r="109" spans="1:1" ht="204.75" x14ac:dyDescent="0.25">
      <c r="A109" s="14" t="s">
        <v>271</v>
      </c>
    </row>
    <row r="110" spans="1:1" ht="236.25" x14ac:dyDescent="0.25">
      <c r="A110" s="14" t="s">
        <v>272</v>
      </c>
    </row>
    <row r="111" spans="1:1" ht="252" x14ac:dyDescent="0.25">
      <c r="A111" s="14" t="s">
        <v>273</v>
      </c>
    </row>
    <row r="112" spans="1:1" ht="283.5" x14ac:dyDescent="0.25">
      <c r="A112" s="14" t="s">
        <v>274</v>
      </c>
    </row>
    <row r="113" spans="1:1" ht="236.25" x14ac:dyDescent="0.25">
      <c r="A113" s="14" t="s">
        <v>275</v>
      </c>
    </row>
    <row r="114" spans="1:1" ht="252" x14ac:dyDescent="0.25">
      <c r="A114" s="14" t="s">
        <v>276</v>
      </c>
    </row>
    <row r="115" spans="1:1" ht="236.25" x14ac:dyDescent="0.25">
      <c r="A115" s="14" t="s">
        <v>277</v>
      </c>
    </row>
    <row r="116" spans="1:1" ht="220.5" x14ac:dyDescent="0.25">
      <c r="A116" s="14" t="s">
        <v>278</v>
      </c>
    </row>
    <row r="117" spans="1:1" ht="300" x14ac:dyDescent="0.25">
      <c r="A117" s="15" t="s">
        <v>279</v>
      </c>
    </row>
    <row r="118" spans="1:1" ht="120" x14ac:dyDescent="0.25">
      <c r="A118" s="15" t="s">
        <v>280</v>
      </c>
    </row>
    <row r="119" spans="1:1" ht="210" x14ac:dyDescent="0.25">
      <c r="A119" s="15" t="s">
        <v>281</v>
      </c>
    </row>
    <row r="120" spans="1:1" ht="285" x14ac:dyDescent="0.25">
      <c r="A120" s="15" t="s">
        <v>282</v>
      </c>
    </row>
    <row r="121" spans="1:1" ht="225" x14ac:dyDescent="0.25">
      <c r="A121" s="15" t="s">
        <v>283</v>
      </c>
    </row>
    <row r="122" spans="1:1" ht="240" x14ac:dyDescent="0.25">
      <c r="A122" s="15" t="s">
        <v>284</v>
      </c>
    </row>
    <row r="123" spans="1:1" ht="141.75" x14ac:dyDescent="0.25">
      <c r="A123" s="14" t="s">
        <v>285</v>
      </c>
    </row>
    <row r="124" spans="1:1" ht="173.25" x14ac:dyDescent="0.25">
      <c r="A124" s="14" t="s">
        <v>286</v>
      </c>
    </row>
    <row r="125" spans="1:1" ht="204.75" x14ac:dyDescent="0.25">
      <c r="A125" s="14" t="s">
        <v>287</v>
      </c>
    </row>
    <row r="126" spans="1:1" ht="78.75" x14ac:dyDescent="0.25">
      <c r="A126" s="14" t="s">
        <v>288</v>
      </c>
    </row>
    <row r="127" spans="1:1" ht="210" x14ac:dyDescent="0.25">
      <c r="A127" s="15" t="s">
        <v>289</v>
      </c>
    </row>
    <row r="128" spans="1:1" ht="225" x14ac:dyDescent="0.25">
      <c r="A128" s="15" t="s">
        <v>290</v>
      </c>
    </row>
    <row r="129" spans="1:1" ht="180" x14ac:dyDescent="0.25">
      <c r="A129" s="15" t="s">
        <v>291</v>
      </c>
    </row>
    <row r="130" spans="1:1" ht="220.5" x14ac:dyDescent="0.25">
      <c r="A130" s="14" t="s">
        <v>292</v>
      </c>
    </row>
    <row r="131" spans="1:1" ht="189" x14ac:dyDescent="0.25">
      <c r="A131" s="14" t="s">
        <v>293</v>
      </c>
    </row>
    <row r="132" spans="1:1" ht="220.5" x14ac:dyDescent="0.25">
      <c r="A132" s="14" t="s">
        <v>294</v>
      </c>
    </row>
    <row r="133" spans="1:1" ht="173.25" x14ac:dyDescent="0.25">
      <c r="A133" s="14" t="s">
        <v>295</v>
      </c>
    </row>
    <row r="134" spans="1:1" ht="240" x14ac:dyDescent="0.25">
      <c r="A134" s="15" t="s">
        <v>296</v>
      </c>
    </row>
    <row r="135" spans="1:1" ht="285" x14ac:dyDescent="0.25">
      <c r="A135" s="15" t="s">
        <v>297</v>
      </c>
    </row>
    <row r="136" spans="1:1" ht="195" x14ac:dyDescent="0.25">
      <c r="A136" s="15" t="s">
        <v>298</v>
      </c>
    </row>
    <row r="137" spans="1:1" ht="195" x14ac:dyDescent="0.25">
      <c r="A137" s="15" t="s">
        <v>299</v>
      </c>
    </row>
    <row r="138" spans="1:1" ht="255" x14ac:dyDescent="0.25">
      <c r="A138" s="15" t="s">
        <v>300</v>
      </c>
    </row>
    <row r="139" spans="1:1" ht="189" x14ac:dyDescent="0.25">
      <c r="A139" s="14" t="s">
        <v>301</v>
      </c>
    </row>
  </sheetData>
  <hyperlinks>
    <hyperlink ref="A2" r:id="rId1" display="https://doi.org/10.3354/ab00462" xr:uid="{CD94E96C-0BC0-4E16-95E7-FB0ED155EABB}"/>
    <hyperlink ref="A4" r:id="rId2" display="https://doi.org/10.11606/T.18.2012.tde-22012013-110850" xr:uid="{197C1D80-32D2-409E-8820-4FF7BA586B63}"/>
    <hyperlink ref="A6" r:id="rId3" display="https://doi.org/10.2312/ActaFish.2015.3.1.77-90" xr:uid="{BA68AD55-4EC3-4401-8D8D-284FB7CCBB6D}"/>
    <hyperlink ref="A8" r:id="rId4" display="https://doi.org/10.1139/cjfas-2016-0452" xr:uid="{4D0FF76F-26ED-4CF8-8790-6514367C3162}"/>
    <hyperlink ref="A9" r:id="rId5" display="https://doi.org/10.1016/S0165-7836(99)00062-4" xr:uid="{B8D56134-6A09-4760-9BC6-C8861DADB71A}"/>
    <hyperlink ref="A10" r:id="rId6" display="https://doi.org/10.1093/icesjms/fsu085" xr:uid="{B15D47AD-10F3-4F98-A705-77C65ADCEB55}"/>
    <hyperlink ref="A11" r:id="rId7" display="https://doi.org/10.1007/978-94-011-2106-4" xr:uid="{55D5E269-037E-4F64-9CC0-F3DC0AFF917C}"/>
    <hyperlink ref="A12" r:id="rId8" display="https://doi.org/10.1590/S0101-81752005000400034" xr:uid="{82ADD203-AE34-4D4E-BDEC-F650ECF9DB5A}"/>
    <hyperlink ref="A14" r:id="rId9" display="https://doi.org/10.1590/S1516-89131999000100016" xr:uid="{B167E66C-B9B0-46B8-9CB3-87F51381883F}"/>
    <hyperlink ref="A15" r:id="rId10" display="https://doi.org/10.1590/S0101-81751998000200008" xr:uid="{D3D529A1-DB61-4C1C-B138-A2A7686B6537}"/>
    <hyperlink ref="A16" r:id="rId11" display="https://doi.org/10.5088/atlântica.v33i2.1442" xr:uid="{78576AFA-3AA5-410C-9A2F-A0CEDE060BEA}"/>
    <hyperlink ref="A20" r:id="rId12" display="https://doi.org/10.1038/s41598-019-51484-3" xr:uid="{748368AC-5012-4479-B642-6667C82A39A3}"/>
    <hyperlink ref="A21" r:id="rId13" display="https://doi.org/10.1163/1937240X-00002300" xr:uid="{9E3655F0-D10B-4CA9-B2D4-0CD92B9ED750}"/>
    <hyperlink ref="A22" r:id="rId14" display="https://doi.org/10.1651/S-2788.1" xr:uid="{B8A3C7B5-F108-40B8-8AB4-02E6FF4A3E89}"/>
    <hyperlink ref="A26" r:id="rId15" display="https://doi.org/10.1016/j.fishres.2022.106493" xr:uid="{756E3645-9187-4DC9-8A37-AC7826D75B13}"/>
    <hyperlink ref="A27" r:id="rId16" display="https://doi.org/10.1080/07924259.2008.9652272" xr:uid="{7E7967B8-CCAC-4022-894C-034F4151FF3D}"/>
    <hyperlink ref="A28" r:id="rId17" display="https://doi.org/10.1080/07924259.2019.1575923" xr:uid="{039913F6-B13D-46E3-BF5B-80E422804B65}"/>
    <hyperlink ref="A35" r:id="rId18" display="https://doi.org/10.4025/actascibiolsci.v35i2.13408" xr:uid="{5728422B-8F23-480D-879D-A4CC155E4154}"/>
    <hyperlink ref="A36" r:id="rId19" display="https://www.fao.org/in-action/globefish/home/globefish---quarterly-shrimp-analysis---may-2025/en" xr:uid="{10D07A3A-507D-487F-8955-37C9EBAC96C5}"/>
    <hyperlink ref="A38" r:id="rId20" display="https://doi.org/10.1163/156854011X605765" xr:uid="{2A3F6BDB-025B-4C8F-9A90-7C1EC58C53A3}"/>
    <hyperlink ref="A39" r:id="rId21" display="https://doi.org/10.1590/2358-2936e2023002" xr:uid="{3FF8BDE6-04B9-4833-A9E0-CC8CAF443B10}"/>
    <hyperlink ref="A40" r:id="rId22" display="https://doi.org/10.1007/s10592-008-9570-9" xr:uid="{68F84774-2153-4BFB-861E-2EB70F604472}"/>
    <hyperlink ref="A41" r:id="rId23" display="https://doi.org/10.1080/02755947.2016.1271842" xr:uid="{776ABC18-77CB-4A8E-85F1-EF4298419366}"/>
    <hyperlink ref="A43" r:id="rId24" display="https://doi.org/10.3897/zookeys.457.6682" xr:uid="{61155749-6E72-4334-A04D-2CC07F3433C7}"/>
    <hyperlink ref="A46" r:id="rId25" display="https://doi.org/10.1139/f94-100" xr:uid="{9342DA35-D388-4733-89A3-35C03DC6C120}"/>
    <hyperlink ref="A48" r:id="rId26" display="https://doi.org/10.1590/S1415-47572005000100029" xr:uid="{C6179C63-34A1-4CB1-A6B4-D4025A3C2589}"/>
    <hyperlink ref="A52" r:id="rId27" display="https://doi.org/10.20950/1678-2305.2013v39n3p283" xr:uid="{0A9D9DBE-E246-4B25-ACD0-85061961939A}"/>
    <hyperlink ref="A57" r:id="rId28" display="https://doi.org/10.1016/j.rsma.2021.101859" xr:uid="{E0FD63C1-311F-4130-88D5-ED26BD821C6A}"/>
    <hyperlink ref="A58" r:id="rId29" display="https://doi.org/10.1093/icesjms/fsw188" xr:uid="{57F5929E-B3DB-4451-B23B-9E5BF319CB34}"/>
    <hyperlink ref="A59" r:id="rId30" display="https://doi.org/10.1590/S1519-69842006000300019" xr:uid="{49495CC0-78E4-4BEC-A875-CD295542A44B}"/>
    <hyperlink ref="A60" r:id="rId31" display="https://doi.org/10.1590/S1679-87592014079706204" xr:uid="{FF942CB1-C4CD-4030-A946-9EFE2F5AA5E5}"/>
    <hyperlink ref="A64" r:id="rId32" display="https://doi.org/10.5088/atl.2009.31.2.169" xr:uid="{35FEC7F4-7ACF-4AE0-A24D-161273AFB2FA}"/>
    <hyperlink ref="A65" r:id="rId33" display="https://doi.org/10.1111/j.1467-2979.2012.00485.x" xr:uid="{10C52C44-3CA7-4204-B5D5-3606F9F12977}"/>
    <hyperlink ref="A69" r:id="rId34" display="https://doi.org/10.1038/s41893-020-00668-1" xr:uid="{884ED95B-6E6F-4A5A-BBCB-93D0D2C2F699}"/>
    <hyperlink ref="A70" r:id="rId35" display="https://doi.org/10.4025/actascibiolsci.v40i1.40379" xr:uid="{8751ACF8-F360-4809-9057-F6A311D8D411}"/>
    <hyperlink ref="A71" r:id="rId36" display="https://doi.org/10.1111/2041-210X.12791" xr:uid="{AF0D77E6-A588-4331-9245-03701A5A7190}"/>
    <hyperlink ref="A72" r:id="rId37" display="https://doi.org/10.1111/2041-210X.12791" xr:uid="{FDA08D01-5EF0-45AB-AB92-976A0DC02294}"/>
    <hyperlink ref="A73" r:id="rId38" display="https://doi.org/10.1139/f84-106" xr:uid="{F99D5D93-E0F2-40F2-A5DE-819ED039D58E}"/>
    <hyperlink ref="A74" r:id="rId39" display="https://doi.org/10.1016/j.ocecoaman.2017.07.018" xr:uid="{A1449DA9-F261-4E21-A72C-939CDEDBDAEE}"/>
    <hyperlink ref="A77" r:id="rId40" display="https://www.fisheries.noaa.gov/foss/f?p=215:200:3458588479033" xr:uid="{8488A61D-66F9-4C95-A3A0-0B37E983C86E}"/>
    <hyperlink ref="A79" r:id="rId41" display="https://doi.org/10.1038/nature01017" xr:uid="{F9955921-0F78-43DE-AF1A-3F07C8A6578B}"/>
    <hyperlink ref="A80" r:id="rId42" display="https://doi.org/10.1163/157075610X516466" xr:uid="{F8CE85CB-ACAD-4512-8DF8-CF4082079CBC}"/>
    <hyperlink ref="A81" r:id="rId43" display="https://doi.org/10.3856/vol46-issue1-fulltext-1" xr:uid="{B4DCF6F6-A033-40B5-8153-8558F7A2F6FE}"/>
    <hyperlink ref="A82" r:id="rId44" display="https://doi.org/10.1590/S1516-89132005000800016" xr:uid="{2E3D9648-C36E-4221-8454-6521FC621A27}"/>
    <hyperlink ref="A86" r:id="rId45" display="https://doi.org/10.47193/mafis.3522022010503" xr:uid="{2DE89B12-CCB5-4C2E-9A9D-31C9AFEE0BF4}"/>
    <hyperlink ref="A88" r:id="rId46" display="https://doi.org/10.1017/S0025315416000904" xr:uid="{88E0874C-9780-498A-818E-7931013D6A5F}"/>
    <hyperlink ref="A89" r:id="rId47" display="https://doi.org/10.1007/s12237-021-00924-3" xr:uid="{A602508B-FD75-458A-BA84-7760146D0FED}"/>
    <hyperlink ref="A90" r:id="rId48" display="https://doi.org/10.1139/f87-336" xr:uid="{17457247-69B4-44E0-BDB6-E908D400E8BD}"/>
    <hyperlink ref="A91" r:id="rId49" display="https://doi.org/10.18764/" xr:uid="{524B77D3-AE57-4EC6-B854-C116339CB469}"/>
    <hyperlink ref="A92" r:id="rId50" display="https://www.r-project.org/" xr:uid="{1CA9DD76-5CEB-4E2B-A2B8-DBF4C9812350}"/>
    <hyperlink ref="A93" r:id="rId51" display="https://doi.org/10.1017/S0025315417001916" xr:uid="{DDFFE656-6EDF-4A1C-B89A-CA041907B635}"/>
    <hyperlink ref="A94" r:id="rId52" display="https://doi.org/10.1007/s41208-022-00494-6" xr:uid="{73D2291D-4E7A-46E4-96E2-EE9C8ECF5D80}"/>
    <hyperlink ref="A97" r:id="rId53" display="https://doi.org/10.37002/revistacepsul.vol4.55746-57" xr:uid="{88CF66A1-8ECA-4BDD-8587-CDB9C7F9F7E1}"/>
    <hyperlink ref="A98" r:id="rId54" display="https://doi.org/10.1590/2358-2936e2021002" xr:uid="{90CC7DF5-AD33-44C2-9E76-020B454C69FF}"/>
    <hyperlink ref="A99" r:id="rId55" display="https://doi.org/10.1139/cjfas-2017-0143" xr:uid="{7943368D-7B81-4AFA-8641-3C3A25279756}"/>
    <hyperlink ref="A102" r:id="rId56" display="https://doi.org/10.1017/S0025315420001393" xr:uid="{51010E95-ECF1-42FA-833E-094689CD9633}"/>
    <hyperlink ref="A117" r:id="rId57" display="https://doi.org/10.1016/j.rsma.2020.101218" xr:uid="{BBAA24FD-3376-46A3-B810-1A078F8F41F1}"/>
    <hyperlink ref="A118" r:id="rId58" display="https://doi.org/10.1353/book.39942" xr:uid="{16533399-CDDD-42EC-9473-299D4B451197}"/>
    <hyperlink ref="A119" r:id="rId59" display="https://doi.org/10.1016/j.marpol.2013.02.002" xr:uid="{7770A481-7235-4CFB-BBAA-E523ACB4BAB1}"/>
    <hyperlink ref="A120" r:id="rId60" display="https://doi.org/10.1017/S0025315418000322" xr:uid="{904F2A16-A1A3-4E79-9272-5288BF9D5344}"/>
    <hyperlink ref="A121" r:id="rId61" display="https://doi.org/10.3354/ab00653" xr:uid="{BB95C450-F0FC-4DB5-806C-386475AA13A5}"/>
    <hyperlink ref="A122" r:id="rId62" display="https://doi.org/10.1163/1937240X-00002325" xr:uid="{744A63FA-EBF6-439E-8E5B-11069BA02A17}"/>
    <hyperlink ref="A127" r:id="rId63" display="https://doi.org/10.1093/icesjms/fsu194" xr:uid="{E8792EF5-CB1E-4558-86D3-1AB4B618DBBD}"/>
    <hyperlink ref="A128" r:id="rId64" display="https://doi.org/10.1016/j.ecss.2015.07.009" xr:uid="{CE5AAA50-1220-44C8-8258-13D1FF28701F}"/>
    <hyperlink ref="A129" r:id="rId65" display="http://www.un.org/Depts/los/convention_agreements/texts/unclos/unclos_e.pdf" xr:uid="{E1D76F6E-C542-4D57-93FB-99F5C29EB09C}"/>
    <hyperlink ref="A134" r:id="rId66" display="https://doi.org/10.1590/S1415-47572005000200014" xr:uid="{8F771B83-33B3-4755-97A6-E01C6DAB5001}"/>
    <hyperlink ref="A135" r:id="rId67" display="https://doi.org/10.1088/1755-1315/763/1/012038" xr:uid="{97330301-E9E3-41EC-8921-726C28297445}"/>
    <hyperlink ref="A136" r:id="rId68" display="https://doi.org/10.1111/j.1467-2979.2012.00483.x" xr:uid="{26333627-0B76-481F-933D-CFFAE0A33185}"/>
    <hyperlink ref="A137" r:id="rId69" display="https://doi.org/10.1007/s11160-016-9454-x" xr:uid="{57B0BCA9-0333-4EA5-AF62-10BEB38163B6}"/>
    <hyperlink ref="A138" r:id="rId70" display="https://doi.org/10.1016/j.marpol.2016.04.046" xr:uid="{5DF3A70B-B582-46FB-8C1F-8C6C00D0A971}"/>
  </hyperlinks>
  <pageMargins left="0.511811024" right="0.511811024" top="0.78740157499999996" bottom="0.78740157499999996" header="0.31496062000000002" footer="0.31496062000000002"/>
  <pageSetup paperSize="9" orientation="portrait" horizontalDpi="300" verticalDpi="300"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2025-12-07T00:52:28Z</dcterms:modified>
</cp:coreProperties>
</file>